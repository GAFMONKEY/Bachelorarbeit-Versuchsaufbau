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f/IdeaProjects/bachelor-thesis/tests-data/reports/"/>
    </mc:Choice>
  </mc:AlternateContent>
  <xr:revisionPtr revIDLastSave="0" documentId="13_ncr:1_{46FD4BF3-4453-7548-8A98-86B8B9923570}" xr6:coauthVersionLast="47" xr6:coauthVersionMax="47" xr10:uidLastSave="{00000000-0000-0000-0000-000000000000}"/>
  <bookViews>
    <workbookView xWindow="0" yWindow="500" windowWidth="40960" windowHeight="22540" xr2:uid="{BB275CAF-FFCB-184E-A3FF-DDEF2278C1DE}"/>
  </bookViews>
  <sheets>
    <sheet name="Test run" sheetId="4" r:id="rId1"/>
    <sheet name="Eval_CharUtils" sheetId="6" r:id="rId2"/>
    <sheet name="Eval_Range" sheetId="7" r:id="rId3"/>
    <sheet name="Eval_RegExUtils" sheetId="8" r:id="rId4"/>
    <sheet name="Eval_CurrencyUnit" sheetId="9" r:id="rId5"/>
    <sheet name="Eval_Money" sheetId="10" r:id="rId6"/>
    <sheet name="Failing Tests" sheetId="5" r:id="rId7"/>
    <sheet name="Backup_Eval_Classes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7" l="1"/>
  <c r="M66" i="7"/>
  <c r="K66" i="7"/>
  <c r="I66" i="7"/>
  <c r="O33" i="7"/>
  <c r="M33" i="7"/>
  <c r="K33" i="7"/>
  <c r="I33" i="7"/>
  <c r="G33" i="7"/>
  <c r="G66" i="7"/>
  <c r="O64" i="7"/>
  <c r="M64" i="7"/>
  <c r="K64" i="7"/>
  <c r="I64" i="7"/>
  <c r="G64" i="7"/>
  <c r="O56" i="7"/>
  <c r="M56" i="7"/>
  <c r="K56" i="7"/>
  <c r="I56" i="7"/>
  <c r="O49" i="7"/>
  <c r="M49" i="7"/>
  <c r="K49" i="7"/>
  <c r="I49" i="7"/>
  <c r="O42" i="7"/>
  <c r="M42" i="7"/>
  <c r="K42" i="7"/>
  <c r="I42" i="7"/>
  <c r="O30" i="7"/>
  <c r="M30" i="7"/>
  <c r="K30" i="7"/>
  <c r="I30" i="7"/>
  <c r="O27" i="7"/>
  <c r="M27" i="7"/>
  <c r="K27" i="7"/>
  <c r="I27" i="7"/>
  <c r="O21" i="7"/>
  <c r="M21" i="7"/>
  <c r="K21" i="7"/>
  <c r="I21" i="7"/>
  <c r="O16" i="7"/>
  <c r="M16" i="7"/>
  <c r="K16" i="7"/>
  <c r="I16" i="7"/>
  <c r="O10" i="7"/>
  <c r="M10" i="7"/>
  <c r="K10" i="7"/>
  <c r="I10" i="7"/>
  <c r="O5" i="7"/>
  <c r="M5" i="7"/>
  <c r="K5" i="7"/>
  <c r="I5" i="7"/>
  <c r="G56" i="7"/>
  <c r="G49" i="7"/>
  <c r="G42" i="7"/>
  <c r="G30" i="7"/>
  <c r="G27" i="7"/>
  <c r="G21" i="7"/>
  <c r="G16" i="7"/>
  <c r="G10" i="7"/>
  <c r="G5" i="7"/>
  <c r="O71" i="6"/>
  <c r="M71" i="6"/>
  <c r="K71" i="6"/>
  <c r="I71" i="6"/>
  <c r="G71" i="6"/>
  <c r="O69" i="6"/>
  <c r="M69" i="6"/>
  <c r="K69" i="6"/>
  <c r="I69" i="6"/>
  <c r="G69" i="6"/>
  <c r="O64" i="6"/>
  <c r="M64" i="6"/>
  <c r="K64" i="6"/>
  <c r="I64" i="6"/>
  <c r="O61" i="6"/>
  <c r="M61" i="6"/>
  <c r="K61" i="6"/>
  <c r="I61" i="6"/>
  <c r="O56" i="6"/>
  <c r="M56" i="6"/>
  <c r="K56" i="6"/>
  <c r="I56" i="6"/>
  <c r="O47" i="6"/>
  <c r="M47" i="6"/>
  <c r="K47" i="6"/>
  <c r="I47" i="6"/>
  <c r="O43" i="6"/>
  <c r="M43" i="6"/>
  <c r="K43" i="6"/>
  <c r="I43" i="6"/>
  <c r="O35" i="6"/>
  <c r="M35" i="6"/>
  <c r="K35" i="6"/>
  <c r="I35" i="6"/>
  <c r="O8" i="6"/>
  <c r="M8" i="6"/>
  <c r="K8" i="6"/>
  <c r="I8" i="6"/>
  <c r="O4" i="6"/>
  <c r="M4" i="6"/>
  <c r="K4" i="6"/>
  <c r="I4" i="6"/>
  <c r="G64" i="6"/>
  <c r="G61" i="6"/>
  <c r="G56" i="6"/>
  <c r="G47" i="6"/>
  <c r="G43" i="6"/>
  <c r="G35" i="6"/>
  <c r="G8" i="6"/>
  <c r="G4" i="6"/>
  <c r="K42" i="10"/>
  <c r="O115" i="10"/>
  <c r="M115" i="10"/>
  <c r="K115" i="10"/>
  <c r="I115" i="10"/>
  <c r="G115" i="10"/>
  <c r="O105" i="10"/>
  <c r="M105" i="10"/>
  <c r="K105" i="10"/>
  <c r="I105" i="10"/>
  <c r="O99" i="10"/>
  <c r="M99" i="10"/>
  <c r="K99" i="10"/>
  <c r="I99" i="10"/>
  <c r="O96" i="10"/>
  <c r="M96" i="10"/>
  <c r="K96" i="10"/>
  <c r="I96" i="10"/>
  <c r="O91" i="10"/>
  <c r="M91" i="10"/>
  <c r="K91" i="10"/>
  <c r="I91" i="10"/>
  <c r="O86" i="10"/>
  <c r="M86" i="10"/>
  <c r="K86" i="10"/>
  <c r="I86" i="10"/>
  <c r="O81" i="10"/>
  <c r="M81" i="10"/>
  <c r="K81" i="10"/>
  <c r="I81" i="10"/>
  <c r="O73" i="10"/>
  <c r="M73" i="10"/>
  <c r="K73" i="10"/>
  <c r="I73" i="10"/>
  <c r="O62" i="10"/>
  <c r="M62" i="10"/>
  <c r="K62" i="10"/>
  <c r="I62" i="10"/>
  <c r="O58" i="10"/>
  <c r="M58" i="10"/>
  <c r="K58" i="10"/>
  <c r="I58" i="10"/>
  <c r="O54" i="10"/>
  <c r="M54" i="10"/>
  <c r="K54" i="10"/>
  <c r="I54" i="10"/>
  <c r="O42" i="10"/>
  <c r="M42" i="10"/>
  <c r="I42" i="10"/>
  <c r="G42" i="10"/>
  <c r="O33" i="10"/>
  <c r="M33" i="10"/>
  <c r="K33" i="10"/>
  <c r="I33" i="10"/>
  <c r="O26" i="10"/>
  <c r="M26" i="10"/>
  <c r="K26" i="10"/>
  <c r="I26" i="10"/>
  <c r="O20" i="10"/>
  <c r="M20" i="10"/>
  <c r="K20" i="10"/>
  <c r="I20" i="10"/>
  <c r="O17" i="10"/>
  <c r="M17" i="10"/>
  <c r="K17" i="10"/>
  <c r="I17" i="10"/>
  <c r="O12" i="10"/>
  <c r="M12" i="10"/>
  <c r="K12" i="10"/>
  <c r="I12" i="10"/>
  <c r="O7" i="10"/>
  <c r="M7" i="10"/>
  <c r="K7" i="10"/>
  <c r="I7" i="10"/>
  <c r="O5" i="10"/>
  <c r="M5" i="10"/>
  <c r="K5" i="10"/>
  <c r="I5" i="10"/>
  <c r="G105" i="10"/>
  <c r="G99" i="10"/>
  <c r="G96" i="10"/>
  <c r="G91" i="10"/>
  <c r="G86" i="10"/>
  <c r="G81" i="10"/>
  <c r="G73" i="10"/>
  <c r="G62" i="10"/>
  <c r="G58" i="10"/>
  <c r="G54" i="10"/>
  <c r="G33" i="10"/>
  <c r="G26" i="10"/>
  <c r="G20" i="10"/>
  <c r="G17" i="10"/>
  <c r="G12" i="10"/>
  <c r="G7" i="10"/>
  <c r="G5" i="10"/>
  <c r="O111" i="10"/>
  <c r="M111" i="10"/>
  <c r="G110" i="10"/>
  <c r="G111" i="10" s="1"/>
  <c r="O110" i="10"/>
  <c r="M110" i="10"/>
  <c r="K110" i="10"/>
  <c r="K111" i="10" s="1"/>
  <c r="I110" i="10"/>
  <c r="I111" i="10" s="1"/>
  <c r="O63" i="7"/>
  <c r="M63" i="7"/>
  <c r="K63" i="7"/>
  <c r="I63" i="7"/>
  <c r="G63" i="7"/>
  <c r="O68" i="6"/>
  <c r="M68" i="6"/>
  <c r="K68" i="6"/>
  <c r="I68" i="6"/>
  <c r="G68" i="6"/>
  <c r="O97" i="4"/>
  <c r="O96" i="4"/>
  <c r="O95" i="4"/>
  <c r="O94" i="4"/>
  <c r="O93" i="4"/>
  <c r="O92" i="4"/>
  <c r="K205" i="4"/>
  <c r="K204" i="4"/>
  <c r="K203" i="4"/>
  <c r="K202" i="4"/>
  <c r="K201" i="4"/>
  <c r="K200" i="4"/>
  <c r="L189" i="4"/>
  <c r="L183" i="4"/>
  <c r="L177" i="4"/>
  <c r="L171" i="4"/>
  <c r="L165" i="4"/>
  <c r="H195" i="4"/>
  <c r="K189" i="4"/>
  <c r="J189" i="4"/>
  <c r="I189" i="4"/>
  <c r="H189" i="4"/>
  <c r="K183" i="4"/>
  <c r="J183" i="4"/>
  <c r="I183" i="4"/>
  <c r="H183" i="4"/>
  <c r="K177" i="4"/>
  <c r="J177" i="4"/>
  <c r="I177" i="4"/>
  <c r="H177" i="4"/>
  <c r="K171" i="4"/>
  <c r="J171" i="4"/>
  <c r="I171" i="4"/>
  <c r="H171" i="4"/>
  <c r="K165" i="4"/>
  <c r="J165" i="4"/>
  <c r="I165" i="4"/>
  <c r="H165" i="4"/>
  <c r="P40" i="4"/>
  <c r="P38" i="4"/>
  <c r="P34" i="4"/>
  <c r="P33" i="4"/>
  <c r="P32" i="4"/>
  <c r="P31" i="4"/>
  <c r="P30" i="4"/>
  <c r="P28" i="4"/>
  <c r="P26" i="4"/>
  <c r="P25" i="4"/>
  <c r="P24" i="4"/>
  <c r="P22" i="4"/>
  <c r="P21" i="4"/>
  <c r="P19" i="4"/>
  <c r="P20" i="4"/>
  <c r="P18" i="4"/>
  <c r="P14" i="4"/>
  <c r="P13" i="4"/>
  <c r="P12" i="4"/>
  <c r="O45" i="4"/>
  <c r="P45" i="4" s="1"/>
  <c r="O42" i="4"/>
  <c r="P42" i="4" s="1"/>
  <c r="O41" i="4"/>
  <c r="P41" i="4" s="1"/>
  <c r="O23" i="4"/>
  <c r="O16" i="4"/>
  <c r="P16" i="4" s="1"/>
  <c r="O15" i="4"/>
  <c r="O17" i="4" s="1"/>
  <c r="P17" i="4" s="1"/>
  <c r="O27" i="4"/>
  <c r="P27" i="4" s="1"/>
  <c r="O35" i="4"/>
  <c r="P35" i="4" s="1"/>
  <c r="M23" i="4"/>
  <c r="N17" i="4"/>
  <c r="N23" i="4"/>
  <c r="P23" i="4" s="1"/>
  <c r="N29" i="4"/>
  <c r="N35" i="4"/>
  <c r="N40" i="4"/>
  <c r="N39" i="4"/>
  <c r="P39" i="4" s="1"/>
  <c r="N38" i="4"/>
  <c r="N37" i="4"/>
  <c r="P37" i="4" s="1"/>
  <c r="N36" i="4"/>
  <c r="N41" i="4" s="1"/>
  <c r="N42" i="4"/>
  <c r="N47" i="4" s="1"/>
  <c r="N45" i="4"/>
  <c r="H127" i="4"/>
  <c r="G127" i="4"/>
  <c r="H121" i="4"/>
  <c r="G121" i="4"/>
  <c r="H109" i="4"/>
  <c r="G109" i="4"/>
  <c r="H115" i="4"/>
  <c r="G115" i="4"/>
  <c r="H103" i="4"/>
  <c r="G103" i="4"/>
  <c r="H97" i="4"/>
  <c r="G97" i="4"/>
  <c r="I126" i="4"/>
  <c r="I125" i="4"/>
  <c r="I124" i="4"/>
  <c r="I123" i="4"/>
  <c r="I122" i="4"/>
  <c r="I120" i="4"/>
  <c r="I119" i="4"/>
  <c r="I118" i="4"/>
  <c r="I117" i="4"/>
  <c r="I116" i="4"/>
  <c r="I114" i="4"/>
  <c r="I113" i="4"/>
  <c r="I112" i="4"/>
  <c r="I111" i="4"/>
  <c r="I110" i="4"/>
  <c r="I108" i="4"/>
  <c r="I107" i="4"/>
  <c r="I106" i="4"/>
  <c r="I105" i="4"/>
  <c r="I104" i="4"/>
  <c r="I102" i="4"/>
  <c r="I101" i="4"/>
  <c r="I100" i="4"/>
  <c r="I99" i="4"/>
  <c r="I98" i="4"/>
  <c r="I96" i="4"/>
  <c r="I95" i="4"/>
  <c r="I94" i="4"/>
  <c r="I93" i="4"/>
  <c r="I92" i="4"/>
  <c r="O86" i="4"/>
  <c r="O85" i="4"/>
  <c r="O84" i="4"/>
  <c r="O83" i="4"/>
  <c r="O82" i="4"/>
  <c r="O80" i="4"/>
  <c r="O79" i="4"/>
  <c r="O78" i="4"/>
  <c r="O77" i="4"/>
  <c r="O76" i="4"/>
  <c r="O74" i="4"/>
  <c r="O73" i="4"/>
  <c r="O72" i="4"/>
  <c r="O71" i="4"/>
  <c r="O70" i="4"/>
  <c r="O68" i="4"/>
  <c r="O67" i="4"/>
  <c r="O66" i="4"/>
  <c r="O65" i="4"/>
  <c r="O64" i="4"/>
  <c r="O62" i="4"/>
  <c r="O61" i="4"/>
  <c r="O60" i="4"/>
  <c r="O59" i="4"/>
  <c r="O58" i="4"/>
  <c r="O56" i="4"/>
  <c r="O55" i="4"/>
  <c r="O54" i="4"/>
  <c r="O53" i="4"/>
  <c r="O52" i="4"/>
  <c r="L86" i="4"/>
  <c r="L85" i="4"/>
  <c r="L84" i="4"/>
  <c r="L83" i="4"/>
  <c r="L82" i="4"/>
  <c r="L80" i="4"/>
  <c r="L79" i="4"/>
  <c r="L78" i="4"/>
  <c r="L77" i="4"/>
  <c r="L76" i="4"/>
  <c r="L74" i="4"/>
  <c r="L73" i="4"/>
  <c r="L72" i="4"/>
  <c r="L71" i="4"/>
  <c r="L70" i="4"/>
  <c r="L68" i="4"/>
  <c r="L67" i="4"/>
  <c r="L66" i="4"/>
  <c r="L65" i="4"/>
  <c r="L64" i="4"/>
  <c r="L62" i="4"/>
  <c r="L61" i="4"/>
  <c r="L60" i="4"/>
  <c r="L59" i="4"/>
  <c r="L58" i="4"/>
  <c r="L56" i="4"/>
  <c r="L55" i="4"/>
  <c r="L54" i="4"/>
  <c r="L53" i="4"/>
  <c r="I86" i="4"/>
  <c r="I85" i="4"/>
  <c r="I84" i="4"/>
  <c r="I83" i="4"/>
  <c r="I82" i="4"/>
  <c r="I80" i="4"/>
  <c r="I79" i="4"/>
  <c r="I78" i="4"/>
  <c r="I77" i="4"/>
  <c r="I76" i="4"/>
  <c r="I74" i="4"/>
  <c r="I73" i="4"/>
  <c r="I72" i="4"/>
  <c r="I71" i="4"/>
  <c r="I70" i="4"/>
  <c r="I68" i="4"/>
  <c r="I67" i="4"/>
  <c r="I66" i="4"/>
  <c r="I65" i="4"/>
  <c r="I64" i="4"/>
  <c r="I62" i="4"/>
  <c r="I61" i="4"/>
  <c r="I60" i="4"/>
  <c r="I59" i="4"/>
  <c r="I58" i="4"/>
  <c r="I56" i="4"/>
  <c r="I55" i="4"/>
  <c r="I54" i="4"/>
  <c r="I53" i="4"/>
  <c r="L52" i="4"/>
  <c r="I52" i="4"/>
  <c r="N57" i="4"/>
  <c r="N63" i="4"/>
  <c r="N69" i="4"/>
  <c r="N75" i="4"/>
  <c r="N81" i="4"/>
  <c r="N87" i="4"/>
  <c r="M87" i="4"/>
  <c r="M81" i="4"/>
  <c r="M75" i="4"/>
  <c r="M69" i="4"/>
  <c r="M63" i="4"/>
  <c r="O63" i="4" s="1"/>
  <c r="M57" i="4"/>
  <c r="K57" i="4"/>
  <c r="K63" i="4"/>
  <c r="K69" i="4"/>
  <c r="K75" i="4"/>
  <c r="K81" i="4"/>
  <c r="K87" i="4"/>
  <c r="J87" i="4"/>
  <c r="J81" i="4"/>
  <c r="J75" i="4"/>
  <c r="J69" i="4"/>
  <c r="J63" i="4"/>
  <c r="L63" i="4" s="1"/>
  <c r="J57" i="4"/>
  <c r="H57" i="4"/>
  <c r="H63" i="4"/>
  <c r="H69" i="4"/>
  <c r="H75" i="4"/>
  <c r="H81" i="4"/>
  <c r="H87" i="4"/>
  <c r="G87" i="4"/>
  <c r="G81" i="4"/>
  <c r="G75" i="4"/>
  <c r="G69" i="4"/>
  <c r="G63" i="4"/>
  <c r="I63" i="4" s="1"/>
  <c r="G57" i="4"/>
  <c r="K47" i="4"/>
  <c r="H47" i="4"/>
  <c r="M47" i="4" s="1"/>
  <c r="G17" i="4"/>
  <c r="G23" i="4"/>
  <c r="G29" i="4"/>
  <c r="G35" i="4"/>
  <c r="G41" i="4"/>
  <c r="G47" i="4"/>
  <c r="J47" i="4"/>
  <c r="K41" i="4"/>
  <c r="J41" i="4"/>
  <c r="I41" i="4"/>
  <c r="H41" i="4"/>
  <c r="L41" i="4" s="1"/>
  <c r="J35" i="4"/>
  <c r="J29" i="4"/>
  <c r="J23" i="4"/>
  <c r="K17" i="4"/>
  <c r="J17" i="4"/>
  <c r="I17" i="4"/>
  <c r="M17" i="4" s="1"/>
  <c r="I35" i="4"/>
  <c r="M35" i="4" s="1"/>
  <c r="I29" i="4"/>
  <c r="M29" i="4" s="1"/>
  <c r="I23" i="4"/>
  <c r="H35" i="4"/>
  <c r="L35" i="4" s="1"/>
  <c r="H29" i="4"/>
  <c r="H23" i="4"/>
  <c r="H17" i="4"/>
  <c r="L17" i="4" s="1"/>
  <c r="K35" i="4"/>
  <c r="K29" i="4"/>
  <c r="K23" i="4"/>
  <c r="P15" i="4" l="1"/>
  <c r="P36" i="4"/>
  <c r="O47" i="4"/>
  <c r="P47" i="4" s="1"/>
  <c r="M41" i="4"/>
  <c r="O29" i="4"/>
  <c r="P29" i="4" s="1"/>
  <c r="L81" i="4"/>
  <c r="O87" i="4"/>
  <c r="I75" i="4"/>
  <c r="O75" i="4"/>
  <c r="L23" i="4"/>
  <c r="I127" i="4"/>
  <c r="L29" i="4"/>
  <c r="L47" i="4"/>
  <c r="I69" i="4"/>
  <c r="O69" i="4"/>
  <c r="I81" i="4"/>
  <c r="L57" i="4"/>
  <c r="O81" i="4"/>
  <c r="I87" i="4"/>
  <c r="I121" i="4"/>
  <c r="I115" i="4"/>
  <c r="I103" i="4"/>
  <c r="I109" i="4"/>
  <c r="I97" i="4"/>
  <c r="L69" i="4"/>
  <c r="L75" i="4"/>
  <c r="I57" i="4"/>
  <c r="O57" i="4"/>
  <c r="L87" i="4"/>
</calcChain>
</file>

<file path=xl/sharedStrings.xml><?xml version="1.0" encoding="utf-8"?>
<sst xmlns="http://schemas.openxmlformats.org/spreadsheetml/2006/main" count="3256" uniqueCount="791">
  <si>
    <t>Line Coverage</t>
  </si>
  <si>
    <t>Branch Coverage</t>
  </si>
  <si>
    <t>Method Coverage</t>
  </si>
  <si>
    <t>Assertion Density</t>
  </si>
  <si>
    <t>Lesbarkeit</t>
  </si>
  <si>
    <t>Semantische Korrektheit</t>
  </si>
  <si>
    <t>Nachbereitungsaufwand</t>
  </si>
  <si>
    <t>commons-lang</t>
  </si>
  <si>
    <t>CharUtils</t>
  </si>
  <si>
    <t>RegExUtils</t>
  </si>
  <si>
    <t>Range</t>
  </si>
  <si>
    <t>EvoSuite</t>
  </si>
  <si>
    <t>Method</t>
  </si>
  <si>
    <t>LLM mit AK</t>
  </si>
  <si>
    <t>LLM ohne AK</t>
  </si>
  <si>
    <t>Randoop</t>
  </si>
  <si>
    <t>Tool</t>
  </si>
  <si>
    <t>GPT</t>
  </si>
  <si>
    <t>Gemini</t>
  </si>
  <si>
    <t>Klassische Tools</t>
  </si>
  <si>
    <t>Name</t>
  </si>
  <si>
    <t>Version</t>
  </si>
  <si>
    <t>Umfang</t>
  </si>
  <si>
    <t>Anzahl Testklassen</t>
  </si>
  <si>
    <t>Anzahl Testfälle</t>
  </si>
  <si>
    <t>Qualitative Ergebnisse</t>
  </si>
  <si>
    <t>1.2.0</t>
  </si>
  <si>
    <t>4.3.4</t>
  </si>
  <si>
    <t>Generierungsdauer (sek)</t>
  </si>
  <si>
    <t>Klasse</t>
  </si>
  <si>
    <t>Compile rate</t>
  </si>
  <si>
    <t>Assertion density</t>
  </si>
  <si>
    <t>Test suite size (LOC)</t>
  </si>
  <si>
    <t>Failing tests</t>
  </si>
  <si>
    <t>Nicht kompilierende tests</t>
  </si>
  <si>
    <t>Gesamt</t>
  </si>
  <si>
    <t>Prompt-ID</t>
  </si>
  <si>
    <t>5.2 Thinking WebUI temporary Chat</t>
  </si>
  <si>
    <t>3 Thinking WebUI temporary Chat</t>
  </si>
  <si>
    <t>Money</t>
  </si>
  <si>
    <t>CurrencyUnit</t>
  </si>
  <si>
    <t>// ADDED:</t>
  </si>
  <si>
    <t>Fix mit Kommentar, keyword</t>
  </si>
  <si>
    <t>// FAILING:</t>
  </si>
  <si>
    <t>File</t>
  </si>
  <si>
    <t>Line</t>
  </si>
  <si>
    <t>Reason</t>
  </si>
  <si>
    <t>Explanation</t>
  </si>
  <si>
    <t>gemini_noac_CharUtilsTest</t>
  </si>
  <si>
    <t>expected&lt;java.lang.IllegalArgumentException&gt; but was&lt;java.lang.NullPointerException&gt;</t>
  </si>
  <si>
    <t>LLM assumed wrong exception type</t>
  </si>
  <si>
    <t>gemini_noac_RegExUtilsTest</t>
  </si>
  <si>
    <t>expected:&lt;[ ]&gt; but was:&lt;[X]&gt;</t>
  </si>
  <si>
    <t>LLM assumed wrong oracle</t>
  </si>
  <si>
    <t>IllegalArgumentException</t>
  </si>
  <si>
    <t>Problematic code</t>
  </si>
  <si>
    <t>Fix</t>
  </si>
  <si>
    <t>assertEquals("X", RegExUtils.replaceFirst(" ", " ", "X"));</t>
  </si>
  <si>
    <t>assertEquals(" ", RegExUtils.replaceFirst(" ", " ", "X"))</t>
  </si>
  <si>
    <t>@Test(expected = NullPointerException.class)</t>
  </si>
  <si>
    <t>@Test(expected = IllegalArgumentException.class)</t>
  </si>
  <si>
    <t>gpt_ac_RangeTest</t>
  </si>
  <si>
    <t>assertEquals(Integer.valueOf(5), range.fit(0));</t>
  </si>
  <si>
    <t>expected:&lt;5&gt; but was:&lt;1&gt;</t>
  </si>
  <si>
    <t>expected:&lt;1&gt; but was:&lt;5&gt;</t>
  </si>
  <si>
    <t>assertEquals(Integer.valueOf(5), range.fit(6));</t>
  </si>
  <si>
    <t>assertEquals(Integer.valueOf(1), range.fit(0));</t>
  </si>
  <si>
    <t>assertEquals(Integer.valueOf(1), range.fit(6))</t>
  </si>
  <si>
    <t>gpt_noac_RegExUtilsTest</t>
  </si>
  <si>
    <t>Assert.assertEquals("bbb", out);</t>
  </si>
  <si>
    <t>&lt;bb[b]&gt; but was:&lt;bb[]</t>
  </si>
  <si>
    <t>LLM hallucinated?</t>
  </si>
  <si>
    <t>Assert.assertEquals("bb", out);</t>
  </si>
  <si>
    <t>Assert.assertEquals("bbb", RegExUtils.replaceAll("ababa", regex, "b"));</t>
  </si>
  <si>
    <t>&lt;bbb[]&gt; but was:&lt;bbb[bb]&gt;</t>
  </si>
  <si>
    <t>Assert.assertEquals("bbbbb", RegExUtils.replaceAll("ababa", regex, "b"));</t>
  </si>
  <si>
    <t>gemini_ac_CurrencyUnitTest</t>
  </si>
  <si>
    <t>CurrencyUnit cu1 = CurrencyUnit.registerCurrency("C01", 1, 2, true);</t>
  </si>
  <si>
    <t>CurrencyUnit cu2 = CurrencyUnit.registerCurrency("C10", 10, 2, true);</t>
  </si>
  <si>
    <t>CurrencyUnit cu1 = CurrencyUnit.registerCurrency("CCC", 1, 2, true);</t>
  </si>
  <si>
    <t>CurrencyUnit cu2 = CurrencyUnit.registerCurrency("XXX", 10, 2, true);</t>
  </si>
  <si>
    <t>Invalid string code, must be ASCII upper-case letters</t>
  </si>
  <si>
    <t>// ERROR</t>
  </si>
  <si>
    <t>CurrencyUnit btc = CurrencyUnit.registerCurrency("BTC", -1, 8, false);</t>
  </si>
  <si>
    <t>Currency already registered: BTC</t>
  </si>
  <si>
    <t>CurrencyUnit btc = CurrencyUnit.registerCurrency("CDF", -1, 8, false);</t>
  </si>
  <si>
    <t>assertFalse(btc.isPseudoCurrency());</t>
  </si>
  <si>
    <t>assertTrue(btc.isPseudoCurrency());</t>
  </si>
  <si>
    <t>8 Decimal places =&gt; it's not a pseudo currency</t>
  </si>
  <si>
    <t>CurrencyUnit.of(new Locale("AASFASDFGD", "XYZ"));</t>
  </si>
  <si>
    <t>CurrencyUnit.of(new Locale("xx", "ZZ"));</t>
  </si>
  <si>
    <t>Currency already registered: TST</t>
  </si>
  <si>
    <t>CurrencyUnit.registerCurrency("TST", 8, 2, false);</t>
  </si>
  <si>
    <t>Expected exception: org.joda.money.IllegalCurrencyException</t>
  </si>
  <si>
    <t>CurrencyUnit.registerCurrency("TST", 8, 2, true);</t>
  </si>
  <si>
    <t>gemini_ac_MoneyTest</t>
  </si>
  <si>
    <t>assertEquals(Money.zero(USD), Money.total(USD, monies));</t>
  </si>
  <si>
    <t>java.lang.NullPointerException: Cannot invoke "java.lang.Iterable.iterator()" because "moniesToAdd" is null</t>
  </si>
  <si>
    <t>LLM used method wrong, no null values</t>
  </si>
  <si>
    <t>assertEquals(Money.of(JPY, 11), m.withCurrencyUnit(JPY, RoundingMode.HALF_UP));</t>
  </si>
  <si>
    <t>Money.of() is bugged for currencies with scale 0</t>
  </si>
  <si>
    <t>209, 210</t>
  </si>
  <si>
    <t>Commented out the failing code</t>
  </si>
  <si>
    <t>java.lang.ArithmeticException: Scale of amount 10.0 is greater than the scale of the currency JPY</t>
  </si>
  <si>
    <t>assertEquals(Money.of(JPY, 100), Money.of(JPY, -100).abs());</t>
  </si>
  <si>
    <t>gemini_noac_CurrencyUnitTest</t>
  </si>
  <si>
    <t>CurrencyUnit.registerCurrency("N01", 1, 2, true);</t>
  </si>
  <si>
    <t>CurrencyUnit.registerCurrency("CCC", 1, 2, true);</t>
  </si>
  <si>
    <t>CurrencyUnit.registerCurrency("CCT", 10, 2, true);</t>
  </si>
  <si>
    <t>CurrencyUnit.registerCurrency("N10", 10, 2, true);</t>
  </si>
  <si>
    <t>CurrencyUnit.registerCurrency("X1", 1, 2, false);</t>
  </si>
  <si>
    <t>CurrencyUnit.registerCurrency("X10", 10, 2, false);</t>
  </si>
  <si>
    <t>CurrencyUnit.registerCurrency("XXX", 1, 2, true);</t>
  </si>
  <si>
    <t>CurrencyUnit.registerCurrency("XCX", 10, 2, true);</t>
  </si>
  <si>
    <t>gpt_noac_CurrencyUnitTest</t>
  </si>
  <si>
    <t>167-176</t>
  </si>
  <si>
    <t>Wrong logic for assertion</t>
  </si>
  <si>
    <t>Swapped line 184 and 185</t>
  </si>
  <si>
    <t>LLM used it's own logic wrong</t>
  </si>
  <si>
    <t>assertSame("negated() on zero should be optimized to same instance", Money.zero(ccy("USD")), Money.zero(ccy("USD")));</t>
  </si>
  <si>
    <t>LLM made up how code should work</t>
  </si>
  <si>
    <t>assertThrows(IllegalArgumentException.class, () -&gt; usd100.convertedTo(ccy("USD"), bd("1.0"), RoundingMode.HALF_UP));</t>
  </si>
  <si>
    <t>gpt_ac_MoneyTest</t>
  </si>
  <si>
    <t>LLM hallucinated assertion</t>
  </si>
  <si>
    <t>Expected java.lang.IllegalArgumentException but no exception was thrown</t>
  </si>
  <si>
    <t>assertThrows(ArithmeticException.class, () -&gt; usd1000.multipliedBy(bd("2.5555"), RoundingMode.UNNECESSARY));</t>
  </si>
  <si>
    <t>Expected java.lang.ArithmeticException but no exception was thrown</t>
  </si>
  <si>
    <t>assertThrows(ArithmeticException.class, () -&gt; usd1000.multipliedBy(bd("2.555"), RoundingMode.UNNECESSARY));</t>
  </si>
  <si>
    <t>LLM logic wrong</t>
  </si>
  <si>
    <t>assertThrows(IllegalArgumentException.class, () -&gt; Money.total((Iterable&lt;Money&gt;) null));</t>
  </si>
  <si>
    <t>Expected java.lang.IllegalArgumentException but got java.lang.NullPointerException: Money iterator must not be null</t>
  </si>
  <si>
    <t>assertThrows(NullPointerException.class, () -&gt; Money.total((Iterable&lt;Money&gt;) null));</t>
  </si>
  <si>
    <t>Commented out failing assertion</t>
  </si>
  <si>
    <t>Wrong assumption by LLM</t>
  </si>
  <si>
    <t>207-208</t>
  </si>
  <si>
    <t>gpt_ac_CurrencyUnitTest</t>
  </si>
  <si>
    <t>assertThrows(IllegalCurrencyException.class, () -&gt; CurrencyUnit.ofNumericCode("08"));</t>
  </si>
  <si>
    <t>registerCurrency(…)</t>
  </si>
  <si>
    <t>Changed BTC to BRB</t>
  </si>
  <si>
    <t>Branch coverage</t>
  </si>
  <si>
    <t>Anzahl Mutanten</t>
  </si>
  <si>
    <t>Mutationscore</t>
  </si>
  <si>
    <t>Mutation score</t>
  </si>
  <si>
    <t>Instruction coverage</t>
  </si>
  <si>
    <t>GPT ohne AK</t>
  </si>
  <si>
    <t>Gemini ohne AK</t>
  </si>
  <si>
    <t>GPT mit AK</t>
  </si>
  <si>
    <t>Gemini mit AK</t>
  </si>
  <si>
    <t>Instructions</t>
  </si>
  <si>
    <t>Missed</t>
  </si>
  <si>
    <t>Branches</t>
  </si>
  <si>
    <t>Methods</t>
  </si>
  <si>
    <t>%</t>
  </si>
  <si>
    <t>Coverage criteria</t>
  </si>
  <si>
    <t>Anzahl gefundener Mutanten</t>
  </si>
  <si>
    <t>Failing rate</t>
  </si>
  <si>
    <t>Assertion density (Assertions / LOC)</t>
  </si>
  <si>
    <t>Method coverage</t>
  </si>
  <si>
    <t>Code coverage</t>
  </si>
  <si>
    <t>Test suite size</t>
  </si>
  <si>
    <t>LOC</t>
  </si>
  <si>
    <t>Kompilier-Rate</t>
  </si>
  <si>
    <t>Absolute Kompilierfehler</t>
  </si>
  <si>
    <t>Anzahl an Testfällen</t>
  </si>
  <si>
    <t>Fail rate</t>
  </si>
  <si>
    <t>Fehlerhafte Tests</t>
  </si>
  <si>
    <t>Anzahl Fehlerhafter Tests</t>
  </si>
  <si>
    <t>Assertions (assertions + expected =)</t>
  </si>
  <si>
    <t>Modell</t>
  </si>
  <si>
    <t>Algorithmus</t>
  </si>
  <si>
    <t>Aussagekräftige Variablennamen</t>
  </si>
  <si>
    <t>Maximale Zeilenlänge</t>
  </si>
  <si>
    <t>Trennung AAA</t>
  </si>
  <si>
    <t>Komplexität des Setups</t>
  </si>
  <si>
    <t>Korrektheit der Assertions</t>
  </si>
  <si>
    <t>Abdeckung der AK</t>
  </si>
  <si>
    <t>Validität der Testdaten</t>
  </si>
  <si>
    <t>Klare Kommentare und messages</t>
  </si>
  <si>
    <t>(bei char utils wenige variablen)</t>
  </si>
  <si>
    <t>Tabelle</t>
  </si>
  <si>
    <t>Gesamt-Readibility</t>
  </si>
  <si>
    <t>Durchschniit</t>
  </si>
  <si>
    <t>Outline</t>
  </si>
  <si>
    <t>x='a', y='b'</t>
  </si>
  <si>
    <t>Given</t>
  </si>
  <si>
    <t>When</t>
  </si>
  <si>
    <t>Then</t>
  </si>
  <si>
    <t>AC-1</t>
  </si>
  <si>
    <t>compare(x, y)</t>
  </si>
  <si>
    <t>x='a', y='a'</t>
  </si>
  <si>
    <t>0 </t>
  </si>
  <si>
    <t>-1 </t>
  </si>
  <si>
    <t>x='b', y='a'</t>
  </si>
  <si>
    <t>1 </t>
  </si>
  <si>
    <t>AC-2</t>
  </si>
  <si>
    <t>isAscii(character)</t>
  </si>
  <si>
    <t>'a'</t>
  </si>
  <si>
    <t>true </t>
  </si>
  <si>
    <t>'A'</t>
  </si>
  <si>
    <t>'3'</t>
  </si>
  <si>
    <t>'-'</t>
  </si>
  <si>
    <t>'\n'</t>
  </si>
  <si>
    <t>false </t>
  </si>
  <si>
    <t>isAsciiAlpha(character)</t>
  </si>
  <si>
    <t>isAsciiAlphaLower(character)</t>
  </si>
  <si>
    <t>isAsciiAlphanumeric(character)</t>
  </si>
  <si>
    <t>isAsciiAlphaUpper(character)</t>
  </si>
  <si>
    <t>isAsciiControl(character)</t>
  </si>
  <si>
    <t>isAsciiNumeric(character)</t>
  </si>
  <si>
    <t>isAsciiPrintable(character)</t>
  </si>
  <si>
    <t>AC-3</t>
  </si>
  <si>
    <t>isHex(character)</t>
  </si>
  <si>
    <t>'0'</t>
  </si>
  <si>
    <t>'9'</t>
  </si>
  <si>
    <t>'f'</t>
  </si>
  <si>
    <t>'g'</t>
  </si>
  <si>
    <t>'F'</t>
  </si>
  <si>
    <t>'G'</t>
  </si>
  <si>
    <t>'#'</t>
  </si>
  <si>
    <t>AC-4</t>
  </si>
  <si>
    <t>isOctal(character)</t>
  </si>
  <si>
    <t>'7'</t>
  </si>
  <si>
    <t>'8'</t>
  </si>
  <si>
    <t>AC-5</t>
  </si>
  <si>
    <t>toChar(parameters)</t>
  </si>
  <si>
    <t>(Character) null, (char) 'X'</t>
  </si>
  <si>
    <t>'X' </t>
  </si>
  <si>
    <t>(Character) ' ', (char) 'X'</t>
  </si>
  <si>
    <t>' ' </t>
  </si>
  <si>
    <t>(Character) 'A', (char) 'X'</t>
  </si>
  <si>
    <t>'A' </t>
  </si>
  <si>
    <t>(Character) ' ', -</t>
  </si>
  <si>
    <t>(Character) 'A', -</t>
  </si>
  <si>
    <t>"A", -</t>
  </si>
  <si>
    <t>"BA", -</t>
  </si>
  <si>
    <t>'B' </t>
  </si>
  <si>
    <t>null, -</t>
  </si>
  <si>
    <t>NullPointerException </t>
  </si>
  <si>
    <t>"", -</t>
  </si>
  <si>
    <t>IllegalArgumentException </t>
  </si>
  <si>
    <t>(String) null, (char) 'X'</t>
  </si>
  <si>
    <t>"", (char) 'X', -</t>
  </si>
  <si>
    <t>"A", (char) 'X', -</t>
  </si>
  <si>
    <t>"BA", (char) 'X', -</t>
  </si>
  <si>
    <t>AC-6</t>
  </si>
  <si>
    <t>toIntValue(parameters)</t>
  </si>
  <si>
    <t>(char) '3', -</t>
  </si>
  <si>
    <t>3 </t>
  </si>
  <si>
    <t>(char) 'A', -</t>
  </si>
  <si>
    <t>(char) '3', -1</t>
  </si>
  <si>
    <t>(char) 'A', -1</t>
  </si>
  <si>
    <t>(Character) '3', -</t>
  </si>
  <si>
    <t>null, -1</t>
  </si>
  <si>
    <t>(Character) '3', -1</t>
  </si>
  <si>
    <t>(Character) 'A', -1</t>
  </si>
  <si>
    <t>AC-7</t>
  </si>
  <si>
    <t>toString(character)</t>
  </si>
  <si>
    <t>(char) ' '</t>
  </si>
  <si>
    <t>" " </t>
  </si>
  <si>
    <t>(char) 'A'</t>
  </si>
  <si>
    <t>"A" </t>
  </si>
  <si>
    <t>(Character) null</t>
  </si>
  <si>
    <t>null </t>
  </si>
  <si>
    <t>(Character) ' '</t>
  </si>
  <si>
    <t>(Character) 'A'</t>
  </si>
  <si>
    <t>AC-8</t>
  </si>
  <si>
    <t>unicodeEscaped(character)</t>
  </si>
  <si>
    <t>"\u0020" </t>
  </si>
  <si>
    <t>"\u0041" </t>
  </si>
  <si>
    <t>Akzeptanzkriterien</t>
  </si>
  <si>
    <t>Gpt_no_ac</t>
  </si>
  <si>
    <t>Gemini_no_ac</t>
  </si>
  <si>
    <t>Gpt_ac</t>
  </si>
  <si>
    <t>Gemini_ac</t>
  </si>
  <si>
    <t>of(min, max)</t>
  </si>
  <si>
    <t>of(16, 64)</t>
  </si>
  <si>
    <t>create()</t>
  </si>
  <si>
    <t>minimum=16, maximum=64</t>
  </si>
  <si>
    <t>of(64, 16)</t>
  </si>
  <si>
    <t>of(null, 1)</t>
  </si>
  <si>
    <t>NullPointerException</t>
  </si>
  <si>
    <t>of(1, null)</t>
  </si>
  <si>
    <t>of(null, 1, null)</t>
  </si>
  <si>
    <t>of(1, null, null)</t>
  </si>
  <si>
    <t>between(min, max)</t>
  </si>
  <si>
    <t>between(16, 64)</t>
  </si>
  <si>
    <t>between(64, 16)</t>
  </si>
  <si>
    <t>between(null, 1)</t>
  </si>
  <si>
    <t>between(1, null)</t>
  </si>
  <si>
    <t>between(null, 1, null)</t>
  </si>
  <si>
    <t>between(1, null, null)</t>
  </si>
  <si>
    <t>contains(value)</t>
  </si>
  <si>
    <t>Range(-10, 20)</t>
  </si>
  <si>
    <t>contains(10)</t>
  </si>
  <si>
    <t>contains(-10)</t>
  </si>
  <si>
    <t>contains(null)</t>
  </si>
  <si>
    <t>contains(-11)</t>
  </si>
  <si>
    <t>elementCompareTo(value)</t>
  </si>
  <si>
    <t>Range(16, 64)</t>
  </si>
  <si>
    <t>elementCompareTo(15)</t>
  </si>
  <si>
    <t>elementCompareTo(16)</t>
  </si>
  <si>
    <t>elementCompareTo(17)</t>
  </si>
  <si>
    <t>elementCompareTo(64)</t>
  </si>
  <si>
    <t>elementCompareTo(65)</t>
  </si>
  <si>
    <t>fit(value)</t>
  </si>
  <si>
    <t>fit(-9)</t>
  </si>
  <si>
    <t>fit(0)</t>
  </si>
  <si>
    <t>fit(15)</t>
  </si>
  <si>
    <t>fit(16)</t>
  </si>
  <si>
    <t>fit(17)</t>
  </si>
  <si>
    <t>fit(63)</t>
  </si>
  <si>
    <t>fit(64)</t>
  </si>
  <si>
    <t>fit(99)</t>
  </si>
  <si>
    <t>getMinimum()</t>
  </si>
  <si>
    <t>getMaximum()</t>
  </si>
  <si>
    <t>intersection(range)</t>
  </si>
  <si>
    <t>(10, 20), (5, 15)</t>
  </si>
  <si>
    <t>intersection()</t>
  </si>
  <si>
    <t>(10, 15)</t>
  </si>
  <si>
    <t>(10, 15), (16, 25)</t>
  </si>
  <si>
    <t>isAfter(element)</t>
  </si>
  <si>
    <t>Range(10, 20)</t>
  </si>
  <si>
    <t>isAfter(null)</t>
  </si>
  <si>
    <t>isAfter(5)</t>
  </si>
  <si>
    <t>isAfter(10)</t>
  </si>
  <si>
    <t>isAfter(15)</t>
  </si>
  <si>
    <t>isAfter(20)</t>
  </si>
  <si>
    <t>isAfter(25)</t>
  </si>
  <si>
    <t>isBefore(element)</t>
  </si>
  <si>
    <t>isBefore(null)</t>
  </si>
  <si>
    <t>isBefore(5)</t>
  </si>
  <si>
    <t>isBefore(10)</t>
  </si>
  <si>
    <t>isBefore(15)</t>
  </si>
  <si>
    <t>isBefore(20)</t>
  </si>
  <si>
    <t>isBefore(25)</t>
  </si>
  <si>
    <t>isAfterRange(range)</t>
  </si>
  <si>
    <t>isAfterRange(null)</t>
  </si>
  <si>
    <t>isAfterRange((5, 9))</t>
  </si>
  <si>
    <t>isAfterRange((5, 10))</t>
  </si>
  <si>
    <t>isAfterRange((5, 20))</t>
  </si>
  <si>
    <t>isAfterRange((5, 25))</t>
  </si>
  <si>
    <t>isAfterRange((15, 25))</t>
  </si>
  <si>
    <t>isAfterRange((21, 25))</t>
  </si>
  <si>
    <t>isAfterRange((10, 20))</t>
  </si>
  <si>
    <t>isBeforeRange(range)</t>
  </si>
  <si>
    <t>isBeforeRange(null)</t>
  </si>
  <si>
    <t>isBeforeRange((5, 9))</t>
  </si>
  <si>
    <t>isBeforeRange((5, 10))</t>
  </si>
  <si>
    <t>isBeforeRange((5, 20))</t>
  </si>
  <si>
    <t>isBeforeRange((5, 25))</t>
  </si>
  <si>
    <t>isBeforeRange((15, 25))</t>
  </si>
  <si>
    <t>isBeforeRange((21, 25))</t>
  </si>
  <si>
    <t>isBeforeRange((10, 20))</t>
  </si>
  <si>
    <t>AC-9</t>
  </si>
  <si>
    <t>isStartedBy(element)</t>
  </si>
  <si>
    <t>isStartedBy(null)</t>
  </si>
  <si>
    <t>isStartedBy(5)</t>
  </si>
  <si>
    <t>isStartedBy(10)</t>
  </si>
  <si>
    <t>isStartedBy(15)</t>
  </si>
  <si>
    <t>isStartedBy(20)</t>
  </si>
  <si>
    <t>isStartedBy(25)</t>
  </si>
  <si>
    <t>isEndedBy(element)</t>
  </si>
  <si>
    <t>isEndedBy(null)</t>
  </si>
  <si>
    <t>isEndedBy(5)</t>
  </si>
  <si>
    <t>isEndedBy(10)</t>
  </si>
  <si>
    <t>isEndedBy(15)</t>
  </si>
  <si>
    <t>isEndedBy(20)</t>
  </si>
  <si>
    <t>isEndedBy(25)</t>
  </si>
  <si>
    <t>AC-10</t>
  </si>
  <si>
    <t>isOverlappedBy(range)</t>
  </si>
  <si>
    <t>isOverlappedBy(null)</t>
  </si>
  <si>
    <t>isOverlappedBy((12, 18))</t>
  </si>
  <si>
    <t>isOverlappedBy((32, 45))</t>
  </si>
  <si>
    <t>isOverlappedBy((2, 8))</t>
  </si>
  <si>
    <t>isOverlappedBy((10, 20))</t>
  </si>
  <si>
    <t>isOverlappedBy((9, 14))</t>
  </si>
  <si>
    <t>isOverlappedBy((16, 21))</t>
  </si>
  <si>
    <t>isOverlappedBy((10, 19))</t>
  </si>
  <si>
    <t>isOverlappedBy((10, 21))</t>
  </si>
  <si>
    <t>isOverlappedBy((11, 20))</t>
  </si>
  <si>
    <t>isOverlappedBy((9, 20))</t>
  </si>
  <si>
    <t>isOverlappedBy((-11, -18))</t>
  </si>
  <si>
    <t>isOverlappedBy((9, 21))</t>
  </si>
  <si>
    <t>removeAll(text, regex)</t>
  </si>
  <si>
    <t>null, "*"</t>
  </si>
  <si>
    <t>null</t>
  </si>
  <si>
    <t>"any", null</t>
  </si>
  <si>
    <t>"any"</t>
  </si>
  <si>
    <t>"any", ""</t>
  </si>
  <si>
    <t>"any", ".*"</t>
  </si>
  <si>
    <t>""</t>
  </si>
  <si>
    <t>"any", ".+"</t>
  </si>
  <si>
    <t>"abc", ".?"</t>
  </si>
  <si>
    <t>"A&lt;&gt;\n&lt;&gt;B", "&lt;.*&gt;"</t>
  </si>
  <si>
    <t>"A\nB"</t>
  </si>
  <si>
    <t>"A&lt;&gt;\n&lt;&gt;B", "(?s)&lt;.*&gt;"</t>
  </si>
  <si>
    <t>"AB"</t>
  </si>
  <si>
    <t>"ABCabc123abc", "[a-z]"</t>
  </si>
  <si>
    <t>"ABC123"</t>
  </si>
  <si>
    <t>removeFirst(text, regex)</t>
  </si>
  <si>
    <t>"bc"</t>
  </si>
  <si>
    <t>"A\n&lt;__&gt;B"</t>
  </si>
  <si>
    <t>"ABCabc123", "[a-z]"</t>
  </si>
  <si>
    <t>"ABCbc123"</t>
  </si>
  <si>
    <t>"ABCabc123abc", "[a-z]+"</t>
  </si>
  <si>
    <t>"ABC123abc"</t>
  </si>
  <si>
    <t>removePattern(text, regex)</t>
  </si>
  <si>
    <t>null, "&lt;.*&gt;"</t>
  </si>
  <si>
    <t>replaceAll(text, regex, replacement)</t>
  </si>
  <si>
    <t>null, "", ""</t>
  </si>
  <si>
    <t>"any", null, ""</t>
  </si>
  <si>
    <t>"any", "", null</t>
  </si>
  <si>
    <t>"", "", "zzz"</t>
  </si>
  <si>
    <t>"zzz"</t>
  </si>
  <si>
    <t>"", ".*", "zzz"</t>
  </si>
  <si>
    <t>"", ".+", "zzz"</t>
  </si>
  <si>
    <t>"abc", "", "ZZ"</t>
  </si>
  <si>
    <t>"ZZaZZbZZcZZ"</t>
  </si>
  <si>
    <t>"&lt;&gt;\n&lt;&gt;", "&lt;.*&gt;", "z"</t>
  </si>
  <si>
    <t>"z\nz"</t>
  </si>
  <si>
    <t>"&lt;&gt;\n&lt;&gt;", "(?s)&lt;.*&gt;", "z"</t>
  </si>
  <si>
    <t>"z"</t>
  </si>
  <si>
    <t>"ABCabc123", "[a-z]", "_"</t>
  </si>
  <si>
    <t>"ABC___123"</t>
  </si>
  <si>
    <t>"ABCabc123", "[^A-Z0-9]+", "_"</t>
  </si>
  <si>
    <t>"ABC_123"</t>
  </si>
  <si>
    <t>"ABCabc123", "[^A-Z0-9]+", ""</t>
  </si>
  <si>
    <t>"Lorem ipsum dolor sit", "( +)([a-z]+)", "_$2"</t>
  </si>
  <si>
    <t>"Lorem_ipsum_dolor_sit"</t>
  </si>
  <si>
    <t>replaceFirst(text, regex, replacement)</t>
  </si>
  <si>
    <t>"ZZabc"</t>
  </si>
  <si>
    <t>"z\n&lt;__&gt;"</t>
  </si>
  <si>
    <t>"ABC_bc123"</t>
  </si>
  <si>
    <t>"ABCabc123abc", "[^A-Z0-9]+", "_"</t>
  </si>
  <si>
    <t>"ABC_123abc"</t>
  </si>
  <si>
    <t>"ABCabc123abc", "[^A-Z0-9]+", ""</t>
  </si>
  <si>
    <t>"Lorem_ipsum dolor sit"</t>
  </si>
  <si>
    <t>replacePattern(text, regex, replacement)</t>
  </si>
  <si>
    <t>of(code)</t>
  </si>
  <si>
    <t>code='USD'</t>
  </si>
  <si>
    <t>USD</t>
  </si>
  <si>
    <t>code='EUR'</t>
  </si>
  <si>
    <t>EUR</t>
  </si>
  <si>
    <t>code='JPY'</t>
  </si>
  <si>
    <t>JPY</t>
  </si>
  <si>
    <t>code='GBP'</t>
  </si>
  <si>
    <t>GBP</t>
  </si>
  <si>
    <t>code='CHF'</t>
  </si>
  <si>
    <t>CHF</t>
  </si>
  <si>
    <t>code='AUD'</t>
  </si>
  <si>
    <t>AUD</t>
  </si>
  <si>
    <t>code='CAD'</t>
  </si>
  <si>
    <t>CAD</t>
  </si>
  <si>
    <t>code='XX'</t>
  </si>
  <si>
    <t>IllegalCurrencyException</t>
  </si>
  <si>
    <t>code='us'</t>
  </si>
  <si>
    <t>code='usd'</t>
  </si>
  <si>
    <t>code='123'</t>
  </si>
  <si>
    <t>code='""'</t>
  </si>
  <si>
    <t>code='null'</t>
  </si>
  <si>
    <t>of(locale)</t>
  </si>
  <si>
    <t>locale='en_US'</t>
  </si>
  <si>
    <t>locale='en_GB'</t>
  </si>
  <si>
    <t>locale='ja_JP'</t>
  </si>
  <si>
    <t>locale='""'</t>
  </si>
  <si>
    <t>ofCountry(countryCode)</t>
  </si>
  <si>
    <t>country='US'</t>
  </si>
  <si>
    <t>ofCountry(country)</t>
  </si>
  <si>
    <t>country='GB'</t>
  </si>
  <si>
    <t>country='CA'</t>
  </si>
  <si>
    <t>country='CH'</t>
  </si>
  <si>
    <t>country='ZZ'</t>
  </si>
  <si>
    <t>country='USA'</t>
  </si>
  <si>
    <t>country='12'</t>
  </si>
  <si>
    <t>ofNumericCode(code)</t>
  </si>
  <si>
    <t>code=840</t>
  </si>
  <si>
    <t>code=392</t>
  </si>
  <si>
    <t>code=-1</t>
  </si>
  <si>
    <t>code=9999</t>
  </si>
  <si>
    <t>code="840"</t>
  </si>
  <si>
    <t>code="392"</t>
  </si>
  <si>
    <t>code="ABC"</t>
  </si>
  <si>
    <t>code="-1"</t>
  </si>
  <si>
    <t>code="9999"</t>
  </si>
  <si>
    <t>registerCurrency(...)</t>
  </si>
  <si>
    <t>code='BTC', num=-1, decimal=8</t>
  </si>
  <si>
    <t>registerCurrency()</t>
  </si>
  <si>
    <t>Success</t>
  </si>
  <si>
    <t>code='BitCoin'</t>
  </si>
  <si>
    <t>code='USD', force=false</t>
  </si>
  <si>
    <t>code='USD', force=true</t>
  </si>
  <si>
    <t>Success (Updated)</t>
  </si>
  <si>
    <t>registerCountry(country, currency)</t>
  </si>
  <si>
    <t>currency='USD', country='XX'</t>
  </si>
  <si>
    <t>registerCountry()</t>
  </si>
  <si>
    <t>currency='EUR', country='YY'</t>
  </si>
  <si>
    <t>compareTo(other)</t>
  </si>
  <si>
    <t>base='AUD', other='CAD'</t>
  </si>
  <si>
    <t>negative</t>
  </si>
  <si>
    <t>base='USD', other='USD'</t>
  </si>
  <si>
    <t>base='USD', other='EUR'</t>
  </si>
  <si>
    <t>positive</t>
  </si>
  <si>
    <t>base='USD', other='null'</t>
  </si>
  <si>
    <t>Immutability check</t>
  </si>
  <si>
    <t>instance=originalObject</t>
  </si>
  <si>
    <t>stateChangeMethod()</t>
  </si>
  <si>
    <t>newInstance!=original, originalUnchanged</t>
  </si>
  <si>
    <t>of(amount, rounding)</t>
  </si>
  <si>
    <t>currency='USD'</t>
  </si>
  <si>
    <t>of(10.50, -)</t>
  </si>
  <si>
    <t>of(10.555, -)</t>
  </si>
  <si>
    <t>ArithmeticException</t>
  </si>
  <si>
    <t>of(10.555, DOWN)</t>
  </si>
  <si>
    <t>currency='JPY'</t>
  </si>
  <si>
    <t>of(100.5, -)</t>
  </si>
  <si>
    <t>of(101.5, HALF_EVEN)</t>
  </si>
  <si>
    <t>ofMajor(amount)</t>
  </si>
  <si>
    <t>ofMajor(20)</t>
  </si>
  <si>
    <t>20.00 (scale=2)</t>
  </si>
  <si>
    <t>currency='EUR'</t>
  </si>
  <si>
    <t>ofMajor(0)</t>
  </si>
  <si>
    <t>0.00 (scale=2)</t>
  </si>
  <si>
    <t>ofMajor(100)</t>
  </si>
  <si>
    <t>100 (scale=0)</t>
  </si>
  <si>
    <t>ofMinor(amount)</t>
  </si>
  <si>
    <t>ofMinor(2595)</t>
  </si>
  <si>
    <t>25.95 (scale=2)</t>
  </si>
  <si>
    <t>ofMinor(100)</t>
  </si>
  <si>
    <t>1.00 (scale=2)</t>
  </si>
  <si>
    <t>ofMinor(5)</t>
  </si>
  <si>
    <t>0.05 (scale=2)</t>
  </si>
  <si>
    <t>ofMinor(123)</t>
  </si>
  <si>
    <t>123 (scale=0)</t>
  </si>
  <si>
    <t>zero(currency)</t>
  </si>
  <si>
    <t>currency='USD', scale=2</t>
  </si>
  <si>
    <t>zero()</t>
  </si>
  <si>
    <t>0 (scale=2, str="USD 0.00")</t>
  </si>
  <si>
    <t>currency='EUR', scale=2</t>
  </si>
  <si>
    <t>0 (scale=2, str="EUR 0.00")</t>
  </si>
  <si>
    <t>currency='JPY', scale=0</t>
  </si>
  <si>
    <t>0 (scale=0, str="JPY 0")</t>
  </si>
  <si>
    <t>currency='BHD', scale=3</t>
  </si>
  <si>
    <t>0 (scale=3, str="BHD 0.000")</t>
  </si>
  <si>
    <t>total(values)</t>
  </si>
  <si>
    <t>values='USD 10, USD 20.50', unit=-</t>
  </si>
  <si>
    <t>total()</t>
  </si>
  <si>
    <t>USD 30.50</t>
  </si>
  <si>
    <t>values='USD 10, USD 20.50, null', unit=-</t>
  </si>
  <si>
    <t>values='null', unit=-</t>
  </si>
  <si>
    <t>values='[empty]', unit=-</t>
  </si>
  <si>
    <t>values='USD 10, USD 20.50', unit=USD</t>
  </si>
  <si>
    <t>values='null', unit=USD</t>
  </si>
  <si>
    <t>USD 0.00</t>
  </si>
  <si>
    <t>values='USD 10, EUR 5', unit=USD</t>
  </si>
  <si>
    <t>CurrencyMismatchException</t>
  </si>
  <si>
    <t>values='EUR 5', unit=USD</t>
  </si>
  <si>
    <t>parse(string)</t>
  </si>
  <si>
    <t>input='USD 25.95'</t>
  </si>
  <si>
    <t>parse()</t>
  </si>
  <si>
    <t>USD 25.95</t>
  </si>
  <si>
    <t>input='EUR 10'</t>
  </si>
  <si>
    <t>EUR 10.00</t>
  </si>
  <si>
    <t>input='USD25.95'</t>
  </si>
  <si>
    <t>input='GBP 100.50'</t>
  </si>
  <si>
    <t>GBP 100.50</t>
  </si>
  <si>
    <t>input='USD .99'</t>
  </si>
  <si>
    <t>USD 0.99</t>
  </si>
  <si>
    <t>input='USD +.99'</t>
  </si>
  <si>
    <t>input='USD -.99'</t>
  </si>
  <si>
    <t>USD -0.99</t>
  </si>
  <si>
    <t>input='USD +25.95'</t>
  </si>
  <si>
    <t>input='USD -25.95'</t>
  </si>
  <si>
    <t>USD -25.95</t>
  </si>
  <si>
    <t>input='JPY 100'</t>
  </si>
  <si>
    <t>JPY 100</t>
  </si>
  <si>
    <t>input='USD'</t>
  </si>
  <si>
    <t>input='25.95 USD'</t>
  </si>
  <si>
    <t>input='GBX 25.95'</t>
  </si>
  <si>
    <t>input='USD 25.95.1'</t>
  </si>
  <si>
    <t>input='null'</t>
  </si>
  <si>
    <t>input='""'</t>
  </si>
  <si>
    <t>getAmountMajor()</t>
  </si>
  <si>
    <t>currency='EUR', amount=2.35</t>
  </si>
  <si>
    <t>getAmountMajorLong()</t>
  </si>
  <si>
    <t>getAmountMajorInt()</t>
  </si>
  <si>
    <t>currency='BHD', amount=-1.345</t>
  </si>
  <si>
    <t>getAmountMinor()</t>
  </si>
  <si>
    <t>currency='JPY', amount=100</t>
  </si>
  <si>
    <t>getMinorPart()</t>
  </si>
  <si>
    <t>currency='EUR', amount=-2.35</t>
  </si>
  <si>
    <t>currency='BHD', amount=1.345</t>
  </si>
  <si>
    <t>isZero()</t>
  </si>
  <si>
    <t>amount=0.00</t>
  </si>
  <si>
    <t>amount=10.00</t>
  </si>
  <si>
    <t>amount=-1.00</t>
  </si>
  <si>
    <t>isPositive()</t>
  </si>
  <si>
    <t>amount=-5.00</t>
  </si>
  <si>
    <t>isPositiveOrZero()</t>
  </si>
  <si>
    <t>isNegative()</t>
  </si>
  <si>
    <t>amount=5.00</t>
  </si>
  <si>
    <t>isNegativeOrZero()</t>
  </si>
  <si>
    <t>withCurrencyUnit(...)</t>
  </si>
  <si>
    <t>value='USD 10.50'</t>
  </si>
  <si>
    <t>withCurrencyUnit(EUR, -)</t>
  </si>
  <si>
    <t>EUR 10.50</t>
  </si>
  <si>
    <t>withCurrencyUnit(EUR, HALF_UP)</t>
  </si>
  <si>
    <t>value='JPY 100'</t>
  </si>
  <si>
    <t>withCurrencyUnit(USD, -)</t>
  </si>
  <si>
    <t>USD 100.00</t>
  </si>
  <si>
    <t>value='USD 10.00'</t>
  </si>
  <si>
    <t>withCurrencyUnit(JPY, -)</t>
  </si>
  <si>
    <t>withCurrencyUnit(JPY, UNNECESSARY)</t>
  </si>
  <si>
    <t>JPY 10</t>
  </si>
  <si>
    <t>value='USD 10.55'</t>
  </si>
  <si>
    <t>withCurrencyUnit(JPY, HALF_UP)</t>
  </si>
  <si>
    <t>JPY 11</t>
  </si>
  <si>
    <t>withCurrencyUnit(JPY, DOWN)</t>
  </si>
  <si>
    <t>withAmount(...)</t>
  </si>
  <si>
    <t>withAmount(50.00, -)</t>
  </si>
  <si>
    <t>USD 50.00</t>
  </si>
  <si>
    <t>withAmount(500, -)</t>
  </si>
  <si>
    <t>JPY 500</t>
  </si>
  <si>
    <t>withAmount(10.123, -)</t>
  </si>
  <si>
    <t>withAmount(10.125, HALF_UP)</t>
  </si>
  <si>
    <t>USD 10.13</t>
  </si>
  <si>
    <t>withAmount(10.129, DOWN)</t>
  </si>
  <si>
    <t>USD 10.12</t>
  </si>
  <si>
    <t>withAmount(100.6, HALF_UP)</t>
  </si>
  <si>
    <t>JPY 101</t>
  </si>
  <si>
    <t>AC-11</t>
  </si>
  <si>
    <t>plus(operand)</t>
  </si>
  <si>
    <t>start='USD 10.00'</t>
  </si>
  <si>
    <t>plus(2.50, -)</t>
  </si>
  <si>
    <t>USD 12.50</t>
  </si>
  <si>
    <t>plus(0.005, UP)</t>
  </si>
  <si>
    <t>USD 10.01</t>
  </si>
  <si>
    <t>plus(0.005, DOWN)</t>
  </si>
  <si>
    <t>USD 10.00</t>
  </si>
  <si>
    <t>plus(0.005, -)</t>
  </si>
  <si>
    <t>plus(USD 5, -)</t>
  </si>
  <si>
    <t>USD 15.00</t>
  </si>
  <si>
    <t>plus(USD 1, USD 2, -)</t>
  </si>
  <si>
    <t>USD 13.00</t>
  </si>
  <si>
    <t>plus(USD 1, EUR 2, -)</t>
  </si>
  <si>
    <t>minus(operand)</t>
  </si>
  <si>
    <t>minus(USD 2.00, -)</t>
  </si>
  <si>
    <t>USD 8.00</t>
  </si>
  <si>
    <t>minus(USD 1, USD 2, -)</t>
  </si>
  <si>
    <t>USD 7.00</t>
  </si>
  <si>
    <t>minus(USD 1, EUR 2, -)</t>
  </si>
  <si>
    <t>minus(2.50, -)</t>
  </si>
  <si>
    <t>USD 7.50</t>
  </si>
  <si>
    <t>minus(0.005, UP)</t>
  </si>
  <si>
    <t>minus(0.005, DOWN)</t>
  </si>
  <si>
    <t>USD 9.99</t>
  </si>
  <si>
    <t>minus(0.005, -)</t>
  </si>
  <si>
    <t>plusMajor(operand)</t>
  </si>
  <si>
    <t>start='USD 10.50'</t>
  </si>
  <si>
    <t>plusMajor(2, -)</t>
  </si>
  <si>
    <t>plusMinor(operand)</t>
  </si>
  <si>
    <t>plusMinor(45, -)</t>
  </si>
  <si>
    <t>USD 10.95</t>
  </si>
  <si>
    <t>minusMajor(operand)</t>
  </si>
  <si>
    <t>minusMajor(2, -)</t>
  </si>
  <si>
    <t>USD 8.50</t>
  </si>
  <si>
    <t>minusMinor(operand)</t>
  </si>
  <si>
    <t>minusMinor(45, -)</t>
  </si>
  <si>
    <t>USD 10.05</t>
  </si>
  <si>
    <t>AC-12</t>
  </si>
  <si>
    <t>multipliedBy(factor)</t>
  </si>
  <si>
    <t>multipliedBy(2, -)</t>
  </si>
  <si>
    <t>USD 20.00</t>
  </si>
  <si>
    <t>start='USD -5.00'</t>
  </si>
  <si>
    <t>USD -10.00</t>
  </si>
  <si>
    <t>multipliedBy(2.5, UNNECESSARY)</t>
  </si>
  <si>
    <t>USD 25.00</t>
  </si>
  <si>
    <t>multipliedBy(2.555, HALF_UP)</t>
  </si>
  <si>
    <t>USD 25.55</t>
  </si>
  <si>
    <t>multipliedBy(2.555, UNNECESSARY)</t>
  </si>
  <si>
    <t>dividedBy(divisor)</t>
  </si>
  <si>
    <t>dividedBy(2, UNNECESSARY)</t>
  </si>
  <si>
    <t>USD 5.00</t>
  </si>
  <si>
    <t>dividedBy(4, UNNECESSARY)</t>
  </si>
  <si>
    <t>USD 2.50</t>
  </si>
  <si>
    <t>dividedBy(3, HALF_UP)</t>
  </si>
  <si>
    <t>USD 3.33</t>
  </si>
  <si>
    <t>dividedBy(3, DOWN)</t>
  </si>
  <si>
    <t>dividedBy(3, UNNECESSARY)</t>
  </si>
  <si>
    <t>dividedBy(0, HALF_UP)</t>
  </si>
  <si>
    <t>dividedBy(0.0, HALF_UP)</t>
  </si>
  <si>
    <t>AC-13</t>
  </si>
  <si>
    <t>negated()</t>
  </si>
  <si>
    <t>start='USD -10.00'</t>
  </si>
  <si>
    <t>start='USD 0.00'</t>
  </si>
  <si>
    <t>start='JPY 100'</t>
  </si>
  <si>
    <t>JPY -100</t>
  </si>
  <si>
    <t>abs()</t>
  </si>
  <si>
    <t>start='JPY -100'</t>
  </si>
  <si>
    <t>AC-14</t>
  </si>
  <si>
    <t>round(scale, mode)</t>
  </si>
  <si>
    <t>EUR 45.23 (scale=2)</t>
  </si>
  <si>
    <t>round(-1, DOWN)</t>
  </si>
  <si>
    <t>EUR 40.00</t>
  </si>
  <si>
    <t>round(-1, UP)</t>
  </si>
  <si>
    <t>EUR 50.00</t>
  </si>
  <si>
    <t>round(0, DOWN)</t>
  </si>
  <si>
    <t>EUR 45.00</t>
  </si>
  <si>
    <t>round(0, UP)</t>
  </si>
  <si>
    <t>EUR 46.00</t>
  </si>
  <si>
    <t>round(1, DOWN)</t>
  </si>
  <si>
    <t>EUR 45.20</t>
  </si>
  <si>
    <t>round(1, UP)</t>
  </si>
  <si>
    <t>EUR 45.30</t>
  </si>
  <si>
    <t>round(2, DOWN)</t>
  </si>
  <si>
    <t>EUR 45.23</t>
  </si>
  <si>
    <t>round(3, DOWN)</t>
  </si>
  <si>
    <t>AC-15</t>
  </si>
  <si>
    <t>convertedTo(currency, multiplier)</t>
  </si>
  <si>
    <t>start='USD 100.00'</t>
  </si>
  <si>
    <t>convertedTo(EUR, 0.85, HALF_UP)</t>
  </si>
  <si>
    <t>EUR 85.00</t>
  </si>
  <si>
    <t>start='USD 10.55'</t>
  </si>
  <si>
    <t>convertedTo(JPY, 10, HALF_UP)</t>
  </si>
  <si>
    <t>JPY 106</t>
  </si>
  <si>
    <t>convertedTo(EUR, 0.8415, HALF_UP)</t>
  </si>
  <si>
    <t>EUR 8.42</t>
  </si>
  <si>
    <t>convertedTo(USD, 1.0, HALF_UP)</t>
  </si>
  <si>
    <t>convertedTo(EUR, -0.85, HALF_UP)</t>
  </si>
  <si>
    <t>convertedTo(EUR, 0.8415, UNNECESSARY)</t>
  </si>
  <si>
    <t>AC-16</t>
  </si>
  <si>
    <t>isSameCurrency(other)</t>
  </si>
  <si>
    <t>currencyA='USD', currencyB='USD'</t>
  </si>
  <si>
    <t>isSameCurrency()</t>
  </si>
  <si>
    <t>currencyA='EUR', currencyB='EUR'</t>
  </si>
  <si>
    <t>currencyA='GBP', currencyB='USD'</t>
  </si>
  <si>
    <t>AC-17</t>
  </si>
  <si>
    <t>A='USD 10.00', B='USD 20.00'</t>
  </si>
  <si>
    <t>compareTo()</t>
  </si>
  <si>
    <t>A='USD 10.00', B='USD 10.00'</t>
  </si>
  <si>
    <t>A='USD 20.00', B='USD 10.00'</t>
  </si>
  <si>
    <t>A='USD 10.00', B='EUR 10.00'</t>
  </si>
  <si>
    <t>isEqual(other)</t>
  </si>
  <si>
    <t>isEqual()</t>
  </si>
  <si>
    <t>A='USD 10.00', B='USD 10.01'</t>
  </si>
  <si>
    <t>isGreaterThan(other)</t>
  </si>
  <si>
    <t>isGreaterThan()</t>
  </si>
  <si>
    <t>isGreaterThanOrEqual(other)</t>
  </si>
  <si>
    <t>isGreaterThanOrEqual()</t>
  </si>
  <si>
    <t>A='USD 5.00', B='USD 10.00'</t>
  </si>
  <si>
    <t>A='USD 5.00', B='EUR 10.00'</t>
  </si>
  <si>
    <t>isLessThan(other)</t>
  </si>
  <si>
    <t>isLessThan()</t>
  </si>
  <si>
    <t>isLessThanOrEqual(other)</t>
  </si>
  <si>
    <t>isLessThanOrEqual()</t>
  </si>
  <si>
    <t>A='USD 20.00', B='EUR 10.00'</t>
  </si>
  <si>
    <t>AC-18</t>
  </si>
  <si>
    <t>toString()</t>
  </si>
  <si>
    <t>currency='USD', amount=10.00</t>
  </si>
  <si>
    <t>currency='EUR', amount=0.00</t>
  </si>
  <si>
    <t>EUR 0.00</t>
  </si>
  <si>
    <t>currency='USD', amount=-5.50</t>
  </si>
  <si>
    <t>USD -5.50</t>
  </si>
  <si>
    <t>currency='BHD', amount=1.234</t>
  </si>
  <si>
    <t>BHD 1.234</t>
  </si>
  <si>
    <t>currency='USD', amount=1000000.00</t>
  </si>
  <si>
    <t>USD 1000000.00</t>
  </si>
  <si>
    <t>'X'</t>
  </si>
  <si>
    <t>'B'</t>
  </si>
  <si>
    <t>"A"</t>
  </si>
  <si>
    <t>(Character) null</t>
  </si>
  <si>
    <t>"\u0041"</t>
  </si>
  <si>
    <t>'&amp;copy;'</t>
  </si>
  <si>
    <t>toChar(character, defaultValue)</t>
  </si>
  <si>
    <t>toIntValue(character, defaultValue)</t>
  </si>
  <si>
    <t>ID</t>
  </si>
  <si>
    <t>locale=''</t>
  </si>
  <si>
    <t>0-2</t>
  </si>
  <si>
    <t>Zeile</t>
  </si>
  <si>
    <t>rounded(scale, mode)</t>
  </si>
  <si>
    <t>rounded(-1, UP)</t>
  </si>
  <si>
    <t>rounded(1, UP)</t>
  </si>
  <si>
    <t>rounded(0, DOWN)</t>
  </si>
  <si>
    <t>rounded(3, DOWN)</t>
  </si>
  <si>
    <t>56, 152</t>
  </si>
  <si>
    <t>Max = 172</t>
  </si>
  <si>
    <t>Anteilig</t>
  </si>
  <si>
    <t>AK = 18</t>
  </si>
  <si>
    <t>Klasse/Modell</t>
  </si>
  <si>
    <t>Anteilig Gesamt</t>
  </si>
  <si>
    <t>Durchschnitt pro AK</t>
  </si>
  <si>
    <t>Semantische Korrektheit Aggregiert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</si>
</sst>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0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3" borderId="12" xfId="0" applyFill="1" applyBorder="1"/>
    <xf numFmtId="0" fontId="0" fillId="3" borderId="13" xfId="0" applyFill="1" applyBorder="1"/>
    <xf numFmtId="0" fontId="0" fillId="3" borderId="6" xfId="0" applyFill="1" applyBorder="1"/>
    <xf numFmtId="0" fontId="0" fillId="3" borderId="0" xfId="0" applyFill="1"/>
    <xf numFmtId="0" fontId="0" fillId="3" borderId="10" xfId="0" applyFill="1" applyBorder="1"/>
    <xf numFmtId="0" fontId="0" fillId="3" borderId="5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6" xfId="0" applyFill="1" applyBorder="1"/>
    <xf numFmtId="0" fontId="0" fillId="4" borderId="0" xfId="0" applyFill="1"/>
    <xf numFmtId="0" fontId="0" fillId="4" borderId="10" xfId="0" applyFill="1" applyBorder="1"/>
    <xf numFmtId="0" fontId="0" fillId="4" borderId="5" xfId="0" applyFill="1" applyBorder="1"/>
    <xf numFmtId="0" fontId="0" fillId="5" borderId="10" xfId="0" applyFill="1" applyBorder="1"/>
    <xf numFmtId="0" fontId="0" fillId="5" borderId="5" xfId="0" applyFill="1" applyBorder="1"/>
    <xf numFmtId="0" fontId="0" fillId="5" borderId="11" xfId="0" applyFill="1" applyBorder="1"/>
    <xf numFmtId="0" fontId="0" fillId="6" borderId="6" xfId="0" applyFill="1" applyBorder="1"/>
    <xf numFmtId="0" fontId="0" fillId="6" borderId="0" xfId="0" applyFill="1"/>
    <xf numFmtId="0" fontId="0" fillId="6" borderId="9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6" xfId="0" applyFill="1" applyBorder="1"/>
    <xf numFmtId="0" fontId="0" fillId="7" borderId="0" xfId="0" applyFill="1"/>
    <xf numFmtId="0" fontId="0" fillId="7" borderId="9" xfId="0" applyFill="1" applyBorder="1"/>
    <xf numFmtId="0" fontId="1" fillId="7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2" borderId="0" xfId="0" applyFill="1"/>
    <xf numFmtId="0" fontId="0" fillId="6" borderId="5" xfId="0" applyFill="1" applyBorder="1"/>
    <xf numFmtId="0" fontId="0" fillId="7" borderId="10" xfId="0" applyFill="1" applyBorder="1"/>
    <xf numFmtId="0" fontId="0" fillId="7" borderId="5" xfId="0" applyFill="1" applyBorder="1"/>
    <xf numFmtId="0" fontId="0" fillId="7" borderId="15" xfId="0" applyFill="1" applyBorder="1"/>
    <xf numFmtId="0" fontId="0" fillId="7" borderId="7" xfId="0" applyFill="1" applyBorder="1"/>
    <xf numFmtId="0" fontId="0" fillId="7" borderId="8" xfId="0" applyFill="1" applyBorder="1"/>
    <xf numFmtId="0" fontId="0" fillId="6" borderId="7" xfId="0" applyFill="1" applyBorder="1"/>
    <xf numFmtId="0" fontId="0" fillId="5" borderId="1" xfId="0" applyFill="1" applyBorder="1"/>
    <xf numFmtId="0" fontId="0" fillId="6" borderId="13" xfId="0" applyFill="1" applyBorder="1"/>
    <xf numFmtId="164" fontId="0" fillId="7" borderId="14" xfId="1" applyNumberFormat="1" applyFont="1" applyFill="1" applyBorder="1"/>
    <xf numFmtId="164" fontId="0" fillId="7" borderId="9" xfId="1" applyNumberFormat="1" applyFont="1" applyFill="1" applyBorder="1"/>
    <xf numFmtId="164" fontId="0" fillId="7" borderId="11" xfId="1" applyNumberFormat="1" applyFont="1" applyFill="1" applyBorder="1"/>
    <xf numFmtId="164" fontId="0" fillId="6" borderId="9" xfId="1" applyNumberFormat="1" applyFont="1" applyFill="1" applyBorder="1"/>
    <xf numFmtId="164" fontId="0" fillId="6" borderId="11" xfId="1" applyNumberFormat="1" applyFont="1" applyFill="1" applyBorder="1"/>
    <xf numFmtId="164" fontId="0" fillId="5" borderId="11" xfId="1" applyNumberFormat="1" applyFont="1" applyFill="1" applyBorder="1"/>
    <xf numFmtId="164" fontId="0" fillId="5" borderId="4" xfId="1" applyNumberFormat="1" applyFont="1" applyFill="1" applyBorder="1"/>
    <xf numFmtId="0" fontId="0" fillId="6" borderId="10" xfId="0" applyFill="1" applyBorder="1"/>
    <xf numFmtId="164" fontId="0" fillId="7" borderId="13" xfId="1" applyNumberFormat="1" applyFont="1" applyFill="1" applyBorder="1"/>
    <xf numFmtId="164" fontId="0" fillId="7" borderId="0" xfId="1" applyNumberFormat="1" applyFont="1" applyFill="1"/>
    <xf numFmtId="164" fontId="0" fillId="6" borderId="0" xfId="1" applyNumberFormat="1" applyFont="1" applyFill="1"/>
    <xf numFmtId="164" fontId="0" fillId="5" borderId="5" xfId="1" applyNumberFormat="1" applyFont="1" applyFill="1" applyBorder="1"/>
    <xf numFmtId="0" fontId="1" fillId="7" borderId="9" xfId="0" applyFont="1" applyFill="1" applyBorder="1"/>
    <xf numFmtId="9" fontId="0" fillId="2" borderId="3" xfId="1" applyFont="1" applyFill="1" applyBorder="1"/>
    <xf numFmtId="164" fontId="0" fillId="0" borderId="0" xfId="1" applyNumberFormat="1" applyFont="1"/>
    <xf numFmtId="0" fontId="0" fillId="0" borderId="0" xfId="1" applyNumberFormat="1" applyFont="1"/>
    <xf numFmtId="0" fontId="0" fillId="0" borderId="0" xfId="0" applyAlignment="1">
      <alignment horizontal="center"/>
    </xf>
    <xf numFmtId="164" fontId="0" fillId="7" borderId="12" xfId="1" applyNumberFormat="1" applyFont="1" applyFill="1" applyBorder="1"/>
    <xf numFmtId="164" fontId="0" fillId="7" borderId="6" xfId="1" applyNumberFormat="1" applyFont="1" applyFill="1" applyBorder="1"/>
    <xf numFmtId="164" fontId="0" fillId="6" borderId="6" xfId="1" applyNumberFormat="1" applyFont="1" applyFill="1" applyBorder="1"/>
    <xf numFmtId="164" fontId="0" fillId="5" borderId="10" xfId="1" applyNumberFormat="1" applyFont="1" applyFill="1" applyBorder="1"/>
    <xf numFmtId="0" fontId="0" fillId="6" borderId="0" xfId="1" applyNumberFormat="1" applyFont="1" applyFill="1"/>
    <xf numFmtId="0" fontId="1" fillId="8" borderId="2" xfId="0" applyFont="1" applyFill="1" applyBorder="1"/>
    <xf numFmtId="0" fontId="0" fillId="2" borderId="9" xfId="0" applyFill="1" applyBorder="1"/>
    <xf numFmtId="0" fontId="0" fillId="5" borderId="0" xfId="0" applyFill="1"/>
    <xf numFmtId="0" fontId="0" fillId="7" borderId="0" xfId="1" applyNumberFormat="1" applyFont="1" applyFill="1"/>
    <xf numFmtId="0" fontId="0" fillId="7" borderId="14" xfId="1" applyNumberFormat="1" applyFont="1" applyFill="1" applyBorder="1"/>
    <xf numFmtId="0" fontId="0" fillId="7" borderId="9" xfId="1" applyNumberFormat="1" applyFont="1" applyFill="1" applyBorder="1"/>
    <xf numFmtId="9" fontId="0" fillId="0" borderId="0" xfId="1" applyFont="1"/>
    <xf numFmtId="0" fontId="0" fillId="0" borderId="0" xfId="0" quotePrefix="1"/>
    <xf numFmtId="0" fontId="4" fillId="0" borderId="0" xfId="0" applyFont="1"/>
    <xf numFmtId="0" fontId="5" fillId="0" borderId="0" xfId="0" applyFont="1"/>
    <xf numFmtId="0" fontId="0" fillId="9" borderId="1" xfId="0" applyFill="1" applyBorder="1"/>
    <xf numFmtId="0" fontId="0" fillId="9" borderId="4" xfId="0" applyFill="1" applyBorder="1"/>
    <xf numFmtId="0" fontId="0" fillId="9" borderId="2" xfId="0" applyFill="1" applyBorder="1"/>
    <xf numFmtId="0" fontId="0" fillId="10" borderId="0" xfId="0" applyFill="1"/>
    <xf numFmtId="0" fontId="0" fillId="10" borderId="9" xfId="0" applyFill="1" applyBorder="1"/>
    <xf numFmtId="0" fontId="0" fillId="10" borderId="6" xfId="0" applyFill="1" applyBorder="1"/>
    <xf numFmtId="9" fontId="0" fillId="10" borderId="0" xfId="1" applyFont="1" applyFill="1"/>
    <xf numFmtId="9" fontId="0" fillId="10" borderId="0" xfId="1" applyFont="1" applyFill="1" applyBorder="1"/>
    <xf numFmtId="9" fontId="0" fillId="10" borderId="6" xfId="1" applyFont="1" applyFill="1" applyBorder="1"/>
    <xf numFmtId="9" fontId="0" fillId="10" borderId="9" xfId="1" applyFont="1" applyFill="1" applyBorder="1"/>
    <xf numFmtId="9" fontId="0" fillId="0" borderId="0" xfId="0" applyNumberFormat="1"/>
    <xf numFmtId="0" fontId="0" fillId="2" borderId="15" xfId="0" applyFill="1" applyBorder="1"/>
    <xf numFmtId="0" fontId="0" fillId="2" borderId="7" xfId="0" applyFill="1" applyBorder="1"/>
    <xf numFmtId="0" fontId="0" fillId="2" borderId="8" xfId="0" applyFill="1" applyBorder="1"/>
    <xf numFmtId="164" fontId="0" fillId="5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69A7-2B94-0741-9A00-D9663F68ABA0}">
  <dimension ref="B3:S227"/>
  <sheetViews>
    <sheetView tabSelected="1" topLeftCell="E184" zoomScale="125" workbookViewId="0">
      <selection activeCell="G210" sqref="G210"/>
    </sheetView>
  </sheetViews>
  <sheetFormatPr baseColWidth="10" defaultRowHeight="16" x14ac:dyDescent="0.2"/>
  <cols>
    <col min="2" max="2" width="14.1640625" bestFit="1" customWidth="1"/>
    <col min="3" max="3" width="12.5" bestFit="1" customWidth="1"/>
    <col min="4" max="4" width="33.5" customWidth="1"/>
    <col min="5" max="5" width="15.1640625" customWidth="1"/>
    <col min="6" max="6" width="26.5" customWidth="1"/>
    <col min="7" max="8" width="27.83203125" bestFit="1" customWidth="1"/>
    <col min="9" max="9" width="27.33203125" bestFit="1" customWidth="1"/>
    <col min="10" max="10" width="23.1640625" customWidth="1"/>
    <col min="11" max="11" width="28" bestFit="1" customWidth="1"/>
    <col min="12" max="12" width="30" bestFit="1" customWidth="1"/>
    <col min="13" max="13" width="22.1640625" bestFit="1" customWidth="1"/>
    <col min="14" max="14" width="17.6640625" bestFit="1" customWidth="1"/>
    <col min="15" max="15" width="30.1640625" bestFit="1" customWidth="1"/>
    <col min="16" max="16" width="19.33203125" bestFit="1" customWidth="1"/>
    <col min="17" max="17" width="33.33203125" customWidth="1"/>
    <col min="18" max="18" width="28" customWidth="1"/>
    <col min="19" max="19" width="21" bestFit="1" customWidth="1"/>
    <col min="20" max="20" width="19.33203125" bestFit="1" customWidth="1"/>
    <col min="21" max="21" width="21.1640625" bestFit="1" customWidth="1"/>
    <col min="22" max="22" width="21" bestFit="1" customWidth="1"/>
  </cols>
  <sheetData>
    <row r="3" spans="2:19" x14ac:dyDescent="0.2">
      <c r="B3" t="s">
        <v>7</v>
      </c>
      <c r="C3" t="s">
        <v>0</v>
      </c>
      <c r="D3" t="s">
        <v>1</v>
      </c>
      <c r="E3" t="s">
        <v>2</v>
      </c>
    </row>
    <row r="5" spans="2:19" x14ac:dyDescent="0.2">
      <c r="B5" t="s">
        <v>8</v>
      </c>
    </row>
    <row r="6" spans="2:19" x14ac:dyDescent="0.2">
      <c r="B6" t="s">
        <v>9</v>
      </c>
    </row>
    <row r="7" spans="2:19" x14ac:dyDescent="0.2">
      <c r="B7" t="s">
        <v>10</v>
      </c>
    </row>
    <row r="9" spans="2:19" x14ac:dyDescent="0.2">
      <c r="I9" t="s">
        <v>82</v>
      </c>
      <c r="J9" t="s">
        <v>42</v>
      </c>
    </row>
    <row r="10" spans="2:19" x14ac:dyDescent="0.2">
      <c r="B10" t="s">
        <v>12</v>
      </c>
      <c r="C10" t="s">
        <v>16</v>
      </c>
      <c r="E10" s="6"/>
      <c r="F10" t="s">
        <v>22</v>
      </c>
      <c r="I10" t="s">
        <v>43</v>
      </c>
      <c r="J10" t="s">
        <v>41</v>
      </c>
      <c r="K10" s="6"/>
      <c r="P10" s="6"/>
      <c r="Q10" t="s">
        <v>25</v>
      </c>
    </row>
    <row r="11" spans="2:19" x14ac:dyDescent="0.2">
      <c r="B11" s="1"/>
      <c r="C11" s="2" t="s">
        <v>20</v>
      </c>
      <c r="D11" s="2" t="s">
        <v>21</v>
      </c>
      <c r="E11" s="3" t="s">
        <v>36</v>
      </c>
      <c r="F11" s="2" t="s">
        <v>29</v>
      </c>
      <c r="G11" s="3" t="s">
        <v>23</v>
      </c>
      <c r="H11" s="2" t="s">
        <v>24</v>
      </c>
      <c r="I11" s="2" t="s">
        <v>33</v>
      </c>
      <c r="J11" s="2" t="s">
        <v>34</v>
      </c>
      <c r="K11" s="3" t="s">
        <v>28</v>
      </c>
      <c r="L11" s="2" t="s">
        <v>30</v>
      </c>
      <c r="M11" s="2" t="s">
        <v>155</v>
      </c>
      <c r="N11" s="2" t="s">
        <v>32</v>
      </c>
      <c r="O11" s="3" t="s">
        <v>167</v>
      </c>
      <c r="P11" s="3" t="s">
        <v>156</v>
      </c>
      <c r="Q11" s="2" t="s">
        <v>4</v>
      </c>
      <c r="R11" s="2" t="s">
        <v>5</v>
      </c>
      <c r="S11" s="3" t="s">
        <v>6</v>
      </c>
    </row>
    <row r="12" spans="2:19" x14ac:dyDescent="0.2">
      <c r="B12" s="12" t="s">
        <v>14</v>
      </c>
      <c r="C12" s="13" t="s">
        <v>17</v>
      </c>
      <c r="D12" s="13" t="s">
        <v>37</v>
      </c>
      <c r="E12" s="13">
        <v>1</v>
      </c>
      <c r="F12" s="30" t="s">
        <v>8</v>
      </c>
      <c r="G12" s="32">
        <v>1</v>
      </c>
      <c r="H12" s="31">
        <v>15</v>
      </c>
      <c r="I12" s="31">
        <v>0</v>
      </c>
      <c r="J12" s="31">
        <v>1</v>
      </c>
      <c r="K12" s="31">
        <v>48</v>
      </c>
      <c r="L12" s="70"/>
      <c r="M12" s="61"/>
      <c r="N12" s="31">
        <v>261</v>
      </c>
      <c r="O12" s="31">
        <v>94</v>
      </c>
      <c r="P12" s="31">
        <f t="shared" ref="P12:P42" si="0">O12/N12</f>
        <v>0.36015325670498083</v>
      </c>
      <c r="Q12" s="30"/>
      <c r="R12" s="31"/>
      <c r="S12" s="32"/>
    </row>
    <row r="13" spans="2:19" x14ac:dyDescent="0.2">
      <c r="B13" s="14"/>
      <c r="C13" s="15"/>
      <c r="D13" s="15"/>
      <c r="E13" s="15"/>
      <c r="F13" s="33" t="s">
        <v>10</v>
      </c>
      <c r="G13" s="35">
        <v>1</v>
      </c>
      <c r="H13" s="34">
        <v>27</v>
      </c>
      <c r="I13" s="34">
        <v>0</v>
      </c>
      <c r="J13" s="34">
        <v>0</v>
      </c>
      <c r="K13" s="34">
        <v>75</v>
      </c>
      <c r="L13" s="71"/>
      <c r="M13" s="62"/>
      <c r="N13" s="34">
        <v>330</v>
      </c>
      <c r="O13" s="34">
        <v>96</v>
      </c>
      <c r="P13" s="34">
        <f t="shared" si="0"/>
        <v>0.29090909090909089</v>
      </c>
      <c r="Q13" s="33"/>
      <c r="R13" s="34"/>
      <c r="S13" s="35"/>
    </row>
    <row r="14" spans="2:19" x14ac:dyDescent="0.2">
      <c r="B14" s="14"/>
      <c r="C14" s="15"/>
      <c r="D14" s="15"/>
      <c r="E14" s="15"/>
      <c r="F14" s="33" t="s">
        <v>9</v>
      </c>
      <c r="G14" s="35">
        <v>1</v>
      </c>
      <c r="H14" s="34">
        <v>22</v>
      </c>
      <c r="I14" s="34">
        <v>0</v>
      </c>
      <c r="J14" s="34">
        <v>2</v>
      </c>
      <c r="K14" s="34">
        <v>55</v>
      </c>
      <c r="L14" s="71"/>
      <c r="M14" s="62"/>
      <c r="N14" s="34">
        <v>240</v>
      </c>
      <c r="O14" s="34">
        <v>41</v>
      </c>
      <c r="P14" s="34">
        <f t="shared" si="0"/>
        <v>0.17083333333333334</v>
      </c>
      <c r="Q14" s="33"/>
      <c r="R14" s="34"/>
      <c r="S14" s="35"/>
    </row>
    <row r="15" spans="2:19" x14ac:dyDescent="0.2">
      <c r="B15" s="14"/>
      <c r="C15" s="15"/>
      <c r="D15" s="15"/>
      <c r="E15" s="15"/>
      <c r="F15" s="27" t="s">
        <v>40</v>
      </c>
      <c r="G15" s="29">
        <v>1</v>
      </c>
      <c r="H15" s="28">
        <v>29</v>
      </c>
      <c r="I15" s="28">
        <v>3</v>
      </c>
      <c r="J15" s="28">
        <v>0</v>
      </c>
      <c r="K15" s="28">
        <v>233</v>
      </c>
      <c r="L15" s="72"/>
      <c r="M15" s="63"/>
      <c r="N15" s="28">
        <v>525</v>
      </c>
      <c r="O15" s="28">
        <f>166-92+21+14+21</f>
        <v>130</v>
      </c>
      <c r="P15" s="28">
        <f t="shared" si="0"/>
        <v>0.24761904761904763</v>
      </c>
      <c r="Q15" s="27"/>
      <c r="R15" s="28"/>
      <c r="S15" s="29"/>
    </row>
    <row r="16" spans="2:19" x14ac:dyDescent="0.2">
      <c r="B16" s="14"/>
      <c r="C16" s="15"/>
      <c r="D16" s="15"/>
      <c r="E16" s="15"/>
      <c r="F16" s="27" t="s">
        <v>39</v>
      </c>
      <c r="G16" s="29">
        <v>1</v>
      </c>
      <c r="H16" s="28">
        <v>23</v>
      </c>
      <c r="I16" s="28">
        <v>0</v>
      </c>
      <c r="J16" s="28">
        <v>0</v>
      </c>
      <c r="K16" s="28">
        <v>112</v>
      </c>
      <c r="L16" s="72"/>
      <c r="M16" s="63"/>
      <c r="N16" s="28">
        <v>498</v>
      </c>
      <c r="O16" s="74">
        <f>149-50+20+54+1</f>
        <v>174</v>
      </c>
      <c r="P16" s="28">
        <f t="shared" si="0"/>
        <v>0.3493975903614458</v>
      </c>
      <c r="Q16" s="27"/>
      <c r="R16" s="28"/>
      <c r="S16" s="29"/>
    </row>
    <row r="17" spans="2:19" x14ac:dyDescent="0.2">
      <c r="B17" s="16"/>
      <c r="C17" s="17"/>
      <c r="D17" s="17"/>
      <c r="E17" s="17"/>
      <c r="F17" s="40" t="s">
        <v>35</v>
      </c>
      <c r="G17" s="42">
        <f>SUM(G12:G16)</f>
        <v>5</v>
      </c>
      <c r="H17" s="41">
        <f>SUM(H12:H16)</f>
        <v>116</v>
      </c>
      <c r="I17" s="41">
        <f>SUM(I12:I16)</f>
        <v>3</v>
      </c>
      <c r="J17" s="41">
        <f>SUM(J12:J16)</f>
        <v>3</v>
      </c>
      <c r="K17" s="41">
        <f>SUM(K12:K16)</f>
        <v>523</v>
      </c>
      <c r="L17" s="73">
        <f>(H17-J17)/H17</f>
        <v>0.97413793103448276</v>
      </c>
      <c r="M17" s="64">
        <f>1 - (H17-I17)/H17</f>
        <v>2.5862068965517238E-2</v>
      </c>
      <c r="N17" s="25">
        <f>SUM(N12:N16)</f>
        <v>1854</v>
      </c>
      <c r="O17" s="25">
        <f>SUM(O12:O16)</f>
        <v>535</v>
      </c>
      <c r="P17" s="25">
        <f t="shared" si="0"/>
        <v>0.28856526429341961</v>
      </c>
      <c r="Q17" s="24"/>
      <c r="R17" s="25"/>
      <c r="S17" s="26"/>
    </row>
    <row r="18" spans="2:19" x14ac:dyDescent="0.2">
      <c r="B18" s="18"/>
      <c r="C18" s="19" t="s">
        <v>18</v>
      </c>
      <c r="D18" s="19" t="s">
        <v>38</v>
      </c>
      <c r="E18" s="19">
        <v>1</v>
      </c>
      <c r="F18" s="30" t="s">
        <v>8</v>
      </c>
      <c r="G18" s="32">
        <v>1</v>
      </c>
      <c r="H18" s="31">
        <v>31</v>
      </c>
      <c r="I18" s="31">
        <v>1</v>
      </c>
      <c r="J18" s="31">
        <v>0</v>
      </c>
      <c r="K18" s="31">
        <v>3</v>
      </c>
      <c r="L18" s="70"/>
      <c r="M18" s="61"/>
      <c r="N18" s="31">
        <v>258</v>
      </c>
      <c r="O18" s="31">
        <v>94</v>
      </c>
      <c r="P18" s="31">
        <f t="shared" si="0"/>
        <v>0.36434108527131781</v>
      </c>
      <c r="Q18" s="30"/>
      <c r="R18" s="31"/>
      <c r="S18" s="32">
        <v>0</v>
      </c>
    </row>
    <row r="19" spans="2:19" x14ac:dyDescent="0.2">
      <c r="B19" s="20"/>
      <c r="C19" s="21"/>
      <c r="D19" s="21"/>
      <c r="E19" s="21"/>
      <c r="F19" s="33" t="s">
        <v>10</v>
      </c>
      <c r="G19" s="35">
        <v>1</v>
      </c>
      <c r="H19" s="34">
        <v>23</v>
      </c>
      <c r="I19" s="34">
        <v>0</v>
      </c>
      <c r="J19" s="34">
        <v>0</v>
      </c>
      <c r="K19" s="34">
        <v>6</v>
      </c>
      <c r="L19" s="71"/>
      <c r="M19" s="62"/>
      <c r="N19" s="34">
        <v>252</v>
      </c>
      <c r="O19" s="34">
        <v>82</v>
      </c>
      <c r="P19" s="34">
        <f t="shared" si="0"/>
        <v>0.32539682539682541</v>
      </c>
      <c r="Q19" s="33"/>
      <c r="R19" s="34"/>
      <c r="S19" s="35"/>
    </row>
    <row r="20" spans="2:19" x14ac:dyDescent="0.2">
      <c r="B20" s="20"/>
      <c r="C20" s="21"/>
      <c r="D20" s="21"/>
      <c r="E20" s="21"/>
      <c r="F20" s="33" t="s">
        <v>9</v>
      </c>
      <c r="G20" s="35">
        <v>1</v>
      </c>
      <c r="H20" s="34">
        <v>25</v>
      </c>
      <c r="I20" s="34">
        <v>1</v>
      </c>
      <c r="J20" s="34">
        <v>0</v>
      </c>
      <c r="K20" s="34">
        <v>7</v>
      </c>
      <c r="L20" s="71"/>
      <c r="M20" s="62"/>
      <c r="N20" s="34">
        <v>297</v>
      </c>
      <c r="O20" s="34">
        <v>42</v>
      </c>
      <c r="P20" s="34">
        <f t="shared" si="0"/>
        <v>0.14141414141414141</v>
      </c>
      <c r="Q20" s="33"/>
      <c r="R20" s="34"/>
      <c r="S20" s="35"/>
    </row>
    <row r="21" spans="2:19" x14ac:dyDescent="0.2">
      <c r="B21" s="20"/>
      <c r="C21" s="21"/>
      <c r="D21" s="21"/>
      <c r="E21" s="21"/>
      <c r="F21" s="27" t="s">
        <v>40</v>
      </c>
      <c r="G21" s="29">
        <v>1</v>
      </c>
      <c r="H21" s="28">
        <v>34</v>
      </c>
      <c r="I21" s="28">
        <v>0</v>
      </c>
      <c r="J21" s="28">
        <v>0</v>
      </c>
      <c r="K21" s="28">
        <v>10</v>
      </c>
      <c r="L21" s="72"/>
      <c r="M21" s="63"/>
      <c r="N21" s="28">
        <v>274</v>
      </c>
      <c r="O21" s="28">
        <v>56</v>
      </c>
      <c r="P21" s="28">
        <f t="shared" si="0"/>
        <v>0.20437956204379562</v>
      </c>
      <c r="Q21" s="27"/>
      <c r="R21" s="28"/>
      <c r="S21" s="29"/>
    </row>
    <row r="22" spans="2:19" x14ac:dyDescent="0.2">
      <c r="B22" s="20"/>
      <c r="C22" s="21"/>
      <c r="D22" s="21"/>
      <c r="E22" s="21"/>
      <c r="F22" s="27" t="s">
        <v>39</v>
      </c>
      <c r="G22" s="29">
        <v>1</v>
      </c>
      <c r="H22" s="28">
        <v>36</v>
      </c>
      <c r="I22" s="28">
        <v>0</v>
      </c>
      <c r="J22" s="28">
        <v>1</v>
      </c>
      <c r="K22" s="28">
        <v>13</v>
      </c>
      <c r="L22" s="72"/>
      <c r="M22" s="63"/>
      <c r="N22" s="28">
        <v>299</v>
      </c>
      <c r="O22" s="28">
        <v>70</v>
      </c>
      <c r="P22" s="28">
        <f t="shared" si="0"/>
        <v>0.23411371237458195</v>
      </c>
      <c r="Q22" s="27"/>
      <c r="R22" s="28"/>
      <c r="S22" s="29"/>
    </row>
    <row r="23" spans="2:19" x14ac:dyDescent="0.2">
      <c r="B23" s="22"/>
      <c r="C23" s="23"/>
      <c r="D23" s="23"/>
      <c r="E23" s="23"/>
      <c r="F23" s="40" t="s">
        <v>35</v>
      </c>
      <c r="G23" s="42">
        <f>SUM(G18:G22)</f>
        <v>5</v>
      </c>
      <c r="H23" s="41">
        <f>SUM(H18:H22)</f>
        <v>149</v>
      </c>
      <c r="I23" s="41">
        <f>SUM(I18:I22)</f>
        <v>2</v>
      </c>
      <c r="J23" s="41">
        <f>SUM(J18:J22)</f>
        <v>1</v>
      </c>
      <c r="K23" s="42">
        <f>SUM(K18:K22)</f>
        <v>39</v>
      </c>
      <c r="L23" s="73">
        <f>(H23-J23)/H23</f>
        <v>0.99328859060402686</v>
      </c>
      <c r="M23" s="64">
        <f>1- (H23-I23)/H23</f>
        <v>1.3422818791946289E-2</v>
      </c>
      <c r="N23" s="25">
        <f>SUM(N18:N22)</f>
        <v>1380</v>
      </c>
      <c r="O23" s="25">
        <f>SUM(O18:O22)</f>
        <v>344</v>
      </c>
      <c r="P23" s="25">
        <f t="shared" si="0"/>
        <v>0.24927536231884059</v>
      </c>
      <c r="Q23" s="24"/>
      <c r="R23" s="25"/>
      <c r="S23" s="26"/>
    </row>
    <row r="24" spans="2:19" x14ac:dyDescent="0.2">
      <c r="B24" s="12" t="s">
        <v>13</v>
      </c>
      <c r="C24" s="13" t="s">
        <v>17</v>
      </c>
      <c r="D24" s="13" t="s">
        <v>37</v>
      </c>
      <c r="E24" s="13">
        <v>2</v>
      </c>
      <c r="F24" s="30" t="s">
        <v>8</v>
      </c>
      <c r="G24" s="32">
        <v>1</v>
      </c>
      <c r="H24" s="31">
        <v>42</v>
      </c>
      <c r="I24" s="31">
        <v>0</v>
      </c>
      <c r="J24" s="31">
        <v>0</v>
      </c>
      <c r="K24" s="31">
        <v>60</v>
      </c>
      <c r="L24" s="70"/>
      <c r="M24" s="61"/>
      <c r="N24" s="31">
        <v>424</v>
      </c>
      <c r="O24" s="31">
        <v>142</v>
      </c>
      <c r="P24" s="31">
        <f t="shared" si="0"/>
        <v>0.33490566037735847</v>
      </c>
      <c r="Q24" s="30"/>
      <c r="R24" s="31"/>
      <c r="S24" s="32"/>
    </row>
    <row r="25" spans="2:19" x14ac:dyDescent="0.2">
      <c r="B25" s="14"/>
      <c r="C25" s="15"/>
      <c r="D25" s="15"/>
      <c r="E25" s="15"/>
      <c r="F25" s="33" t="s">
        <v>10</v>
      </c>
      <c r="G25" s="35">
        <v>1</v>
      </c>
      <c r="H25" s="34">
        <v>61</v>
      </c>
      <c r="I25" s="34">
        <v>2</v>
      </c>
      <c r="J25" s="34">
        <v>0</v>
      </c>
      <c r="K25" s="34">
        <v>57</v>
      </c>
      <c r="L25" s="71"/>
      <c r="M25" s="62"/>
      <c r="N25" s="34">
        <v>568</v>
      </c>
      <c r="O25" s="34">
        <v>160</v>
      </c>
      <c r="P25" s="34">
        <f t="shared" si="0"/>
        <v>0.28169014084507044</v>
      </c>
      <c r="Q25" s="33"/>
      <c r="R25" s="34"/>
      <c r="S25" s="35"/>
    </row>
    <row r="26" spans="2:19" x14ac:dyDescent="0.2">
      <c r="B26" s="14"/>
      <c r="C26" s="15"/>
      <c r="D26" s="15"/>
      <c r="E26" s="15"/>
      <c r="F26" s="33" t="s">
        <v>9</v>
      </c>
      <c r="G26" s="35">
        <v>1</v>
      </c>
      <c r="H26" s="34">
        <v>22</v>
      </c>
      <c r="I26" s="34">
        <v>0</v>
      </c>
      <c r="J26" s="34">
        <v>2</v>
      </c>
      <c r="K26" s="34">
        <v>116</v>
      </c>
      <c r="L26" s="71"/>
      <c r="M26" s="62"/>
      <c r="N26" s="34">
        <v>263</v>
      </c>
      <c r="O26" s="34">
        <v>84</v>
      </c>
      <c r="P26" s="34">
        <f t="shared" si="0"/>
        <v>0.3193916349809886</v>
      </c>
      <c r="Q26" s="33"/>
      <c r="R26" s="34"/>
      <c r="S26" s="35"/>
    </row>
    <row r="27" spans="2:19" ht="18" customHeight="1" x14ac:dyDescent="0.2">
      <c r="B27" s="14"/>
      <c r="C27" s="15"/>
      <c r="D27" s="15"/>
      <c r="E27" s="15"/>
      <c r="F27" s="27" t="s">
        <v>40</v>
      </c>
      <c r="G27" s="29">
        <v>1</v>
      </c>
      <c r="H27" s="28">
        <v>34</v>
      </c>
      <c r="I27" s="28">
        <v>2</v>
      </c>
      <c r="J27" s="28">
        <v>0</v>
      </c>
      <c r="K27" s="28">
        <v>318</v>
      </c>
      <c r="L27" s="72"/>
      <c r="M27" s="63"/>
      <c r="N27" s="28">
        <v>431</v>
      </c>
      <c r="O27" s="28">
        <f>104+21+8</f>
        <v>133</v>
      </c>
      <c r="P27" s="28">
        <f t="shared" si="0"/>
        <v>0.308584686774942</v>
      </c>
      <c r="Q27" s="27"/>
      <c r="R27" s="28"/>
      <c r="S27" s="29"/>
    </row>
    <row r="28" spans="2:19" x14ac:dyDescent="0.2">
      <c r="B28" s="14"/>
      <c r="C28" s="15"/>
      <c r="D28" s="15"/>
      <c r="E28" s="15"/>
      <c r="F28" s="27" t="s">
        <v>39</v>
      </c>
      <c r="G28" s="29">
        <v>1</v>
      </c>
      <c r="H28" s="28">
        <v>26</v>
      </c>
      <c r="I28" s="28">
        <v>5</v>
      </c>
      <c r="J28" s="28">
        <v>0</v>
      </c>
      <c r="K28" s="28">
        <v>258</v>
      </c>
      <c r="L28" s="72"/>
      <c r="M28" s="63"/>
      <c r="N28" s="28">
        <v>530</v>
      </c>
      <c r="O28" s="28">
        <v>231</v>
      </c>
      <c r="P28" s="28">
        <f t="shared" si="0"/>
        <v>0.4358490566037736</v>
      </c>
      <c r="Q28" s="27"/>
      <c r="R28" s="28"/>
      <c r="S28" s="29"/>
    </row>
    <row r="29" spans="2:19" x14ac:dyDescent="0.2">
      <c r="B29" s="16"/>
      <c r="C29" s="17"/>
      <c r="D29" s="17"/>
      <c r="E29" s="17"/>
      <c r="F29" s="40" t="s">
        <v>35</v>
      </c>
      <c r="G29" s="42">
        <f>SUM(G24:G28)</f>
        <v>5</v>
      </c>
      <c r="H29" s="41">
        <f>SUM(H24:H28)</f>
        <v>185</v>
      </c>
      <c r="I29" s="41">
        <f>SUM(I24:I28)</f>
        <v>9</v>
      </c>
      <c r="J29" s="41">
        <f>SUM(J24:J28)</f>
        <v>2</v>
      </c>
      <c r="K29" s="42">
        <f>SUM(K24:K28)</f>
        <v>809</v>
      </c>
      <c r="L29" s="73">
        <f>(H29-J29)/H29</f>
        <v>0.98918918918918919</v>
      </c>
      <c r="M29" s="64">
        <f>1-(H29-I29)/H29</f>
        <v>4.8648648648648596E-2</v>
      </c>
      <c r="N29" s="25">
        <f>SUM(N24:N28)</f>
        <v>2216</v>
      </c>
      <c r="O29" s="25">
        <f>SUM(O24:O28)</f>
        <v>750</v>
      </c>
      <c r="P29" s="25">
        <f t="shared" si="0"/>
        <v>0.33844765342960287</v>
      </c>
      <c r="Q29" s="24"/>
      <c r="R29" s="25"/>
      <c r="S29" s="26"/>
    </row>
    <row r="30" spans="2:19" x14ac:dyDescent="0.2">
      <c r="B30" s="18"/>
      <c r="C30" s="19" t="s">
        <v>18</v>
      </c>
      <c r="D30" s="19" t="s">
        <v>38</v>
      </c>
      <c r="E30" s="19">
        <v>2</v>
      </c>
      <c r="F30" s="30" t="s">
        <v>8</v>
      </c>
      <c r="G30" s="32">
        <v>1</v>
      </c>
      <c r="H30" s="31">
        <v>33</v>
      </c>
      <c r="I30" s="31">
        <v>0</v>
      </c>
      <c r="J30" s="31">
        <v>1</v>
      </c>
      <c r="K30" s="31">
        <v>9</v>
      </c>
      <c r="L30" s="70"/>
      <c r="M30" s="61"/>
      <c r="N30" s="31">
        <v>287</v>
      </c>
      <c r="O30" s="31">
        <v>100</v>
      </c>
      <c r="P30" s="31">
        <f t="shared" si="0"/>
        <v>0.34843205574912894</v>
      </c>
      <c r="Q30" s="30"/>
      <c r="R30" s="31"/>
      <c r="S30" s="32"/>
    </row>
    <row r="31" spans="2:19" x14ac:dyDescent="0.2">
      <c r="B31" s="20"/>
      <c r="C31" s="21"/>
      <c r="D31" s="21"/>
      <c r="E31" s="21"/>
      <c r="F31" s="33" t="s">
        <v>10</v>
      </c>
      <c r="G31" s="35">
        <v>1</v>
      </c>
      <c r="H31" s="34">
        <v>29</v>
      </c>
      <c r="I31" s="34">
        <v>0</v>
      </c>
      <c r="J31" s="34">
        <v>0</v>
      </c>
      <c r="K31" s="34">
        <v>5</v>
      </c>
      <c r="L31" s="71"/>
      <c r="M31" s="62"/>
      <c r="N31" s="34">
        <v>295</v>
      </c>
      <c r="O31" s="34">
        <v>107</v>
      </c>
      <c r="P31" s="34">
        <f t="shared" si="0"/>
        <v>0.36271186440677966</v>
      </c>
      <c r="Q31" s="33"/>
      <c r="R31" s="34"/>
      <c r="S31" s="35"/>
    </row>
    <row r="32" spans="2:19" x14ac:dyDescent="0.2">
      <c r="B32" s="20"/>
      <c r="C32" s="21"/>
      <c r="D32" s="21"/>
      <c r="E32" s="21"/>
      <c r="F32" s="33" t="s">
        <v>9</v>
      </c>
      <c r="G32" s="35">
        <v>1</v>
      </c>
      <c r="H32" s="34">
        <v>17</v>
      </c>
      <c r="I32" s="34">
        <v>0</v>
      </c>
      <c r="J32" s="34">
        <v>2</v>
      </c>
      <c r="K32" s="34">
        <v>8</v>
      </c>
      <c r="L32" s="71"/>
      <c r="M32" s="62"/>
      <c r="N32" s="34">
        <v>233</v>
      </c>
      <c r="O32" s="34">
        <v>76</v>
      </c>
      <c r="P32" s="34">
        <f t="shared" si="0"/>
        <v>0.3261802575107296</v>
      </c>
      <c r="Q32" s="33"/>
      <c r="R32" s="34"/>
      <c r="S32" s="35"/>
    </row>
    <row r="33" spans="2:19" x14ac:dyDescent="0.2">
      <c r="B33" s="20"/>
      <c r="C33" s="21"/>
      <c r="D33" s="21"/>
      <c r="E33" s="21"/>
      <c r="F33" s="27" t="s">
        <v>40</v>
      </c>
      <c r="G33" s="29">
        <v>1</v>
      </c>
      <c r="H33" s="28">
        <v>38</v>
      </c>
      <c r="I33" s="28">
        <v>4</v>
      </c>
      <c r="J33" s="28">
        <v>0</v>
      </c>
      <c r="K33" s="28">
        <v>12</v>
      </c>
      <c r="L33" s="72"/>
      <c r="M33" s="63"/>
      <c r="N33" s="28">
        <v>312</v>
      </c>
      <c r="O33" s="28">
        <v>72</v>
      </c>
      <c r="P33" s="28">
        <f t="shared" si="0"/>
        <v>0.23076923076923078</v>
      </c>
      <c r="Q33" s="27"/>
      <c r="R33" s="28"/>
      <c r="S33" s="29"/>
    </row>
    <row r="34" spans="2:19" x14ac:dyDescent="0.2">
      <c r="B34" s="20"/>
      <c r="C34" s="21"/>
      <c r="D34" s="21"/>
      <c r="E34" s="21"/>
      <c r="F34" s="27" t="s">
        <v>39</v>
      </c>
      <c r="G34" s="29">
        <v>1</v>
      </c>
      <c r="H34" s="28">
        <v>36</v>
      </c>
      <c r="I34" s="28">
        <v>4</v>
      </c>
      <c r="J34" s="28">
        <v>0</v>
      </c>
      <c r="K34" s="28">
        <v>18</v>
      </c>
      <c r="L34" s="72"/>
      <c r="M34" s="63"/>
      <c r="N34" s="28">
        <v>390</v>
      </c>
      <c r="O34" s="28">
        <v>99</v>
      </c>
      <c r="P34" s="28">
        <f t="shared" si="0"/>
        <v>0.25384615384615383</v>
      </c>
      <c r="Q34" s="27"/>
      <c r="R34" s="28"/>
      <c r="S34" s="29"/>
    </row>
    <row r="35" spans="2:19" x14ac:dyDescent="0.2">
      <c r="B35" s="22"/>
      <c r="C35" s="23"/>
      <c r="D35" s="23"/>
      <c r="E35" s="23"/>
      <c r="F35" s="40" t="s">
        <v>35</v>
      </c>
      <c r="G35" s="42">
        <f>SUM(G30:G34)</f>
        <v>5</v>
      </c>
      <c r="H35" s="41">
        <f>SUM(H30:H34)</f>
        <v>153</v>
      </c>
      <c r="I35" s="41">
        <f>SUM(I30:I34)</f>
        <v>8</v>
      </c>
      <c r="J35" s="41">
        <f>SUM(J30:J34)</f>
        <v>3</v>
      </c>
      <c r="K35" s="42">
        <f>SUM(K30:K34)</f>
        <v>52</v>
      </c>
      <c r="L35" s="73">
        <f>(H35-J35)/H35</f>
        <v>0.98039215686274506</v>
      </c>
      <c r="M35" s="64">
        <f>1-(H35-I35)/H35</f>
        <v>5.2287581699346442E-2</v>
      </c>
      <c r="N35" s="25">
        <f>SUM(N30:N34)</f>
        <v>1517</v>
      </c>
      <c r="O35" s="25">
        <f>SUM(O30:O34)</f>
        <v>454</v>
      </c>
      <c r="P35" s="25">
        <f t="shared" si="0"/>
        <v>0.29927488464073831</v>
      </c>
      <c r="Q35" s="24"/>
      <c r="R35" s="25"/>
      <c r="S35" s="26"/>
    </row>
    <row r="36" spans="2:19" x14ac:dyDescent="0.2">
      <c r="B36" s="10" t="s">
        <v>19</v>
      </c>
      <c r="C36" s="11" t="s">
        <v>11</v>
      </c>
      <c r="D36" s="11" t="s">
        <v>26</v>
      </c>
      <c r="E36" s="11"/>
      <c r="F36" s="30" t="s">
        <v>8</v>
      </c>
      <c r="G36" s="32">
        <v>2</v>
      </c>
      <c r="H36" s="31">
        <v>82</v>
      </c>
      <c r="I36" s="31">
        <v>0</v>
      </c>
      <c r="J36" s="31">
        <v>0</v>
      </c>
      <c r="K36" s="31">
        <v>76</v>
      </c>
      <c r="L36" s="70"/>
      <c r="M36" s="61"/>
      <c r="N36" s="31">
        <f>583+98</f>
        <v>681</v>
      </c>
      <c r="O36" s="31">
        <v>93</v>
      </c>
      <c r="P36" s="31">
        <f t="shared" si="0"/>
        <v>0.13656387665198239</v>
      </c>
      <c r="Q36" s="30"/>
      <c r="R36" s="31"/>
      <c r="S36" s="32">
        <v>0</v>
      </c>
    </row>
    <row r="37" spans="2:19" x14ac:dyDescent="0.2">
      <c r="B37" s="5"/>
      <c r="F37" s="33" t="s">
        <v>10</v>
      </c>
      <c r="G37" s="35">
        <v>2</v>
      </c>
      <c r="H37" s="34">
        <v>76</v>
      </c>
      <c r="I37" s="34">
        <v>0</v>
      </c>
      <c r="J37" s="34">
        <v>0</v>
      </c>
      <c r="K37" s="34">
        <v>72</v>
      </c>
      <c r="L37" s="71"/>
      <c r="M37" s="62"/>
      <c r="N37" s="34">
        <f>1086+100</f>
        <v>1186</v>
      </c>
      <c r="O37" s="34">
        <v>99</v>
      </c>
      <c r="P37" s="34">
        <f t="shared" si="0"/>
        <v>8.347386172006746E-2</v>
      </c>
      <c r="Q37" s="33"/>
      <c r="R37" s="34"/>
      <c r="S37" s="35"/>
    </row>
    <row r="38" spans="2:19" x14ac:dyDescent="0.2">
      <c r="B38" s="5"/>
      <c r="F38" s="33" t="s">
        <v>9</v>
      </c>
      <c r="G38" s="65">
        <v>2</v>
      </c>
      <c r="H38" s="36">
        <v>82</v>
      </c>
      <c r="I38" s="34">
        <v>0</v>
      </c>
      <c r="J38" s="34">
        <v>0</v>
      </c>
      <c r="K38" s="34">
        <v>66</v>
      </c>
      <c r="L38" s="71"/>
      <c r="M38" s="62"/>
      <c r="N38" s="34">
        <f>808+97</f>
        <v>905</v>
      </c>
      <c r="O38" s="34">
        <v>110</v>
      </c>
      <c r="P38" s="34">
        <f t="shared" si="0"/>
        <v>0.12154696132596685</v>
      </c>
      <c r="Q38" s="33"/>
      <c r="R38" s="34"/>
      <c r="S38" s="35"/>
    </row>
    <row r="39" spans="2:19" x14ac:dyDescent="0.2">
      <c r="B39" s="5"/>
      <c r="F39" s="27" t="s">
        <v>40</v>
      </c>
      <c r="G39" s="29">
        <v>2</v>
      </c>
      <c r="H39" s="28">
        <v>72</v>
      </c>
      <c r="I39" s="28">
        <v>0</v>
      </c>
      <c r="J39" s="28">
        <v>0</v>
      </c>
      <c r="K39" s="28">
        <v>75</v>
      </c>
      <c r="L39" s="72"/>
      <c r="M39" s="63"/>
      <c r="N39" s="28">
        <f>836+101</f>
        <v>937</v>
      </c>
      <c r="O39" s="28">
        <v>108</v>
      </c>
      <c r="P39" s="28">
        <f t="shared" si="0"/>
        <v>0.1152614727854856</v>
      </c>
      <c r="Q39" s="27"/>
      <c r="R39" s="28"/>
      <c r="S39" s="29"/>
    </row>
    <row r="40" spans="2:19" x14ac:dyDescent="0.2">
      <c r="B40" s="5"/>
      <c r="F40" s="27" t="s">
        <v>39</v>
      </c>
      <c r="G40" s="29">
        <v>2</v>
      </c>
      <c r="H40" s="28">
        <v>173</v>
      </c>
      <c r="I40" s="28">
        <v>0</v>
      </c>
      <c r="J40" s="28">
        <v>0</v>
      </c>
      <c r="K40" s="28">
        <v>85</v>
      </c>
      <c r="L40" s="72"/>
      <c r="M40" s="63"/>
      <c r="N40" s="28">
        <f>2320+112</f>
        <v>2432</v>
      </c>
      <c r="O40" s="28">
        <v>252</v>
      </c>
      <c r="P40" s="28">
        <f t="shared" si="0"/>
        <v>0.10361842105263158</v>
      </c>
      <c r="Q40" s="27"/>
      <c r="R40" s="28"/>
      <c r="S40" s="29"/>
    </row>
    <row r="41" spans="2:19" x14ac:dyDescent="0.2">
      <c r="B41" s="9"/>
      <c r="C41" s="6"/>
      <c r="D41" s="6"/>
      <c r="E41" s="6"/>
      <c r="F41" s="40" t="s">
        <v>35</v>
      </c>
      <c r="G41" s="42">
        <f>SUM(G36:G40)</f>
        <v>10</v>
      </c>
      <c r="H41" s="41">
        <f>SUM(H36:H40)</f>
        <v>485</v>
      </c>
      <c r="I41" s="41">
        <f>SUM(I36:I40)</f>
        <v>0</v>
      </c>
      <c r="J41" s="41">
        <f>SUM(J36:J40)</f>
        <v>0</v>
      </c>
      <c r="K41" s="41">
        <f>SUM(K36:K40)</f>
        <v>374</v>
      </c>
      <c r="L41" s="73">
        <f>(H41-J41)/H41</f>
        <v>1</v>
      </c>
      <c r="M41" s="64">
        <f>1-(H41-I41)/H41</f>
        <v>0</v>
      </c>
      <c r="N41" s="25">
        <f>SUM(N36:N40)</f>
        <v>6141</v>
      </c>
      <c r="O41" s="25">
        <f>SUM(O36:O40)</f>
        <v>662</v>
      </c>
      <c r="P41" s="25">
        <f t="shared" si="0"/>
        <v>0.10780003256798568</v>
      </c>
      <c r="Q41" s="24"/>
      <c r="R41" s="25"/>
      <c r="S41" s="26"/>
    </row>
    <row r="42" spans="2:19" x14ac:dyDescent="0.2">
      <c r="B42" s="10"/>
      <c r="C42" s="11" t="s">
        <v>15</v>
      </c>
      <c r="D42" s="11" t="s">
        <v>27</v>
      </c>
      <c r="E42" s="11"/>
      <c r="F42" s="30" t="s">
        <v>8</v>
      </c>
      <c r="G42" s="32">
        <v>3</v>
      </c>
      <c r="H42" s="31">
        <v>937</v>
      </c>
      <c r="I42" s="31">
        <v>0</v>
      </c>
      <c r="J42" s="34">
        <v>0</v>
      </c>
      <c r="K42" s="31">
        <v>772</v>
      </c>
      <c r="L42" s="70"/>
      <c r="M42" s="61"/>
      <c r="N42" s="31">
        <f>7+13517+6238</f>
        <v>19762</v>
      </c>
      <c r="O42" s="31">
        <f>9481-4766-3+2148-3-1154</f>
        <v>5703</v>
      </c>
      <c r="P42" s="31">
        <f t="shared" si="0"/>
        <v>0.28858415140167998</v>
      </c>
      <c r="Q42" s="30"/>
      <c r="R42" s="31"/>
      <c r="S42" s="32">
        <v>0</v>
      </c>
    </row>
    <row r="43" spans="2:19" x14ac:dyDescent="0.2">
      <c r="B43" s="5"/>
      <c r="F43" s="33" t="s">
        <v>10</v>
      </c>
      <c r="G43" s="35"/>
      <c r="H43" s="34"/>
      <c r="I43" s="34">
        <v>0</v>
      </c>
      <c r="J43" s="34">
        <v>0</v>
      </c>
      <c r="K43" s="34"/>
      <c r="L43" s="71"/>
      <c r="M43" s="62"/>
      <c r="N43" s="34"/>
      <c r="O43" s="34"/>
      <c r="P43" s="34"/>
      <c r="Q43" s="33"/>
      <c r="R43" s="34"/>
      <c r="S43" s="35"/>
    </row>
    <row r="44" spans="2:19" x14ac:dyDescent="0.2">
      <c r="B44" s="5"/>
      <c r="F44" s="33" t="s">
        <v>9</v>
      </c>
      <c r="G44" s="35"/>
      <c r="H44" s="34"/>
      <c r="I44" s="34">
        <v>0</v>
      </c>
      <c r="J44" s="34">
        <v>0</v>
      </c>
      <c r="K44" s="34"/>
      <c r="L44" s="71"/>
      <c r="M44" s="62"/>
      <c r="N44" s="34"/>
      <c r="O44" s="34"/>
      <c r="P44" s="34"/>
      <c r="Q44" s="33"/>
      <c r="R44" s="34"/>
      <c r="S44" s="35"/>
    </row>
    <row r="45" spans="2:19" x14ac:dyDescent="0.2">
      <c r="B45" s="5"/>
      <c r="F45" s="27" t="s">
        <v>40</v>
      </c>
      <c r="G45" s="29">
        <v>8</v>
      </c>
      <c r="H45" s="28">
        <v>3210</v>
      </c>
      <c r="I45" s="28">
        <v>0</v>
      </c>
      <c r="J45" s="28">
        <v>0</v>
      </c>
      <c r="K45" s="28">
        <v>600</v>
      </c>
      <c r="L45" s="72"/>
      <c r="M45" s="63"/>
      <c r="N45" s="28">
        <f>7+26257+33415+36306+38450+40418+38969+16754</f>
        <v>230576</v>
      </c>
      <c r="O45" s="28">
        <f>9764+355+268+13445+15140+206+174+16294+17231+166+144+16489+7173+56</f>
        <v>96905</v>
      </c>
      <c r="P45" s="28">
        <f>O45/N45</f>
        <v>0.42027357574075358</v>
      </c>
      <c r="Q45" s="27"/>
      <c r="R45" s="28"/>
      <c r="S45" s="29"/>
    </row>
    <row r="46" spans="2:19" x14ac:dyDescent="0.2">
      <c r="B46" s="5"/>
      <c r="F46" s="27" t="s">
        <v>39</v>
      </c>
      <c r="G46" s="29"/>
      <c r="H46" s="28"/>
      <c r="I46" s="28">
        <v>0</v>
      </c>
      <c r="J46" s="28">
        <v>0</v>
      </c>
      <c r="K46" s="28"/>
      <c r="L46" s="72"/>
      <c r="M46" s="63"/>
      <c r="N46" s="28"/>
      <c r="O46" s="28"/>
      <c r="P46" s="28"/>
      <c r="Q46" s="27"/>
      <c r="R46" s="28"/>
      <c r="S46" s="29"/>
    </row>
    <row r="47" spans="2:19" x14ac:dyDescent="0.2">
      <c r="B47" s="9"/>
      <c r="C47" s="6"/>
      <c r="D47" s="6"/>
      <c r="E47" s="6"/>
      <c r="F47" s="40" t="s">
        <v>35</v>
      </c>
      <c r="G47" s="42">
        <f>SUM(G42:G46)</f>
        <v>11</v>
      </c>
      <c r="H47" s="41">
        <f>SUM(H42:H46)</f>
        <v>4147</v>
      </c>
      <c r="I47" s="41">
        <v>20</v>
      </c>
      <c r="J47" s="41">
        <f>SUM(J42:J46)</f>
        <v>0</v>
      </c>
      <c r="K47" s="41">
        <f>SUM(K42:K46)</f>
        <v>1372</v>
      </c>
      <c r="L47" s="73">
        <f>(H47-J47)/H47</f>
        <v>1</v>
      </c>
      <c r="M47" s="64">
        <f>1-(H47-I47)/H47</f>
        <v>4.8227634434531153E-3</v>
      </c>
      <c r="N47" s="25">
        <f>SUM(N42:N46)</f>
        <v>250338</v>
      </c>
      <c r="O47" s="25">
        <f>SUM(O42:O46)</f>
        <v>102608</v>
      </c>
      <c r="P47" s="25">
        <f>O47/N47</f>
        <v>0.40987784515335268</v>
      </c>
      <c r="Q47" s="24"/>
      <c r="R47" s="25"/>
      <c r="S47" s="26"/>
    </row>
    <row r="48" spans="2:19" x14ac:dyDescent="0.2">
      <c r="J48" s="11"/>
    </row>
    <row r="50" spans="5:15" x14ac:dyDescent="0.2">
      <c r="E50" t="s">
        <v>153</v>
      </c>
    </row>
    <row r="51" spans="5:15" x14ac:dyDescent="0.2">
      <c r="E51" s="1" t="s">
        <v>20</v>
      </c>
      <c r="F51" s="3" t="s">
        <v>29</v>
      </c>
      <c r="G51" s="2" t="s">
        <v>148</v>
      </c>
      <c r="H51" s="2" t="s">
        <v>149</v>
      </c>
      <c r="I51" s="3" t="s">
        <v>152</v>
      </c>
      <c r="J51" s="2" t="s">
        <v>150</v>
      </c>
      <c r="K51" s="2" t="s">
        <v>149</v>
      </c>
      <c r="L51" s="3" t="s">
        <v>152</v>
      </c>
      <c r="M51" s="2" t="s">
        <v>151</v>
      </c>
      <c r="N51" s="2" t="s">
        <v>149</v>
      </c>
      <c r="O51" s="3" t="s">
        <v>152</v>
      </c>
    </row>
    <row r="52" spans="5:15" x14ac:dyDescent="0.2">
      <c r="E52" s="12" t="s">
        <v>144</v>
      </c>
      <c r="F52" s="47" t="s">
        <v>8</v>
      </c>
      <c r="G52" s="31">
        <v>343</v>
      </c>
      <c r="H52" s="31">
        <v>0</v>
      </c>
      <c r="I52" s="53">
        <f t="shared" ref="I52:I58" si="1">(G52-H52)/G52</f>
        <v>1</v>
      </c>
      <c r="J52" s="31">
        <v>62</v>
      </c>
      <c r="K52" s="31">
        <v>0</v>
      </c>
      <c r="L52" s="53">
        <f>(J52-K52)/J52</f>
        <v>1</v>
      </c>
      <c r="M52" s="31">
        <v>28</v>
      </c>
      <c r="N52" s="31">
        <v>0</v>
      </c>
      <c r="O52" s="53">
        <f t="shared" ref="O52:O86" si="2">(M52-N52)/M52</f>
        <v>1</v>
      </c>
    </row>
    <row r="53" spans="5:15" x14ac:dyDescent="0.2">
      <c r="E53" s="14"/>
      <c r="F53" s="48" t="s">
        <v>10</v>
      </c>
      <c r="G53" s="34">
        <v>442</v>
      </c>
      <c r="H53" s="34">
        <v>16</v>
      </c>
      <c r="I53" s="54">
        <f t="shared" si="1"/>
        <v>0.96380090497737558</v>
      </c>
      <c r="J53" s="34">
        <v>76</v>
      </c>
      <c r="K53" s="34">
        <v>3</v>
      </c>
      <c r="L53" s="54">
        <f t="shared" ref="L53:L87" si="3">(J53-K53)/J53</f>
        <v>0.96052631578947367</v>
      </c>
      <c r="M53" s="34">
        <v>27</v>
      </c>
      <c r="N53" s="34">
        <v>2</v>
      </c>
      <c r="O53" s="54">
        <f t="shared" si="2"/>
        <v>0.92592592592592593</v>
      </c>
    </row>
    <row r="54" spans="5:15" x14ac:dyDescent="0.2">
      <c r="E54" s="14"/>
      <c r="F54" s="49" t="s">
        <v>9</v>
      </c>
      <c r="G54" s="46">
        <v>181</v>
      </c>
      <c r="H54" s="46">
        <v>25</v>
      </c>
      <c r="I54" s="55">
        <f t="shared" si="1"/>
        <v>0.86187845303867405</v>
      </c>
      <c r="J54" s="46">
        <v>18</v>
      </c>
      <c r="K54" s="46">
        <v>0</v>
      </c>
      <c r="L54" s="55">
        <f t="shared" si="3"/>
        <v>1</v>
      </c>
      <c r="M54" s="46">
        <v>22</v>
      </c>
      <c r="N54" s="46">
        <v>5</v>
      </c>
      <c r="O54" s="55">
        <f t="shared" si="2"/>
        <v>0.77272727272727271</v>
      </c>
    </row>
    <row r="55" spans="5:15" ht="19" customHeight="1" x14ac:dyDescent="0.2">
      <c r="E55" s="14"/>
      <c r="F55" s="50" t="s">
        <v>40</v>
      </c>
      <c r="G55" s="28">
        <v>663</v>
      </c>
      <c r="H55" s="52">
        <v>52</v>
      </c>
      <c r="I55" s="56">
        <f t="shared" si="1"/>
        <v>0.92156862745098034</v>
      </c>
      <c r="J55" s="28">
        <v>64</v>
      </c>
      <c r="K55" s="52">
        <v>1</v>
      </c>
      <c r="L55" s="56">
        <f t="shared" si="3"/>
        <v>0.984375</v>
      </c>
      <c r="M55" s="28">
        <v>29</v>
      </c>
      <c r="N55" s="28">
        <v>0</v>
      </c>
      <c r="O55" s="56">
        <f t="shared" si="2"/>
        <v>1</v>
      </c>
    </row>
    <row r="56" spans="5:15" x14ac:dyDescent="0.2">
      <c r="E56" s="14"/>
      <c r="F56" s="50" t="s">
        <v>39</v>
      </c>
      <c r="G56" s="44">
        <v>602</v>
      </c>
      <c r="H56" s="44">
        <v>139</v>
      </c>
      <c r="I56" s="57">
        <f t="shared" si="1"/>
        <v>0.76910299003322258</v>
      </c>
      <c r="J56" s="44">
        <v>22</v>
      </c>
      <c r="K56" s="44">
        <v>2</v>
      </c>
      <c r="L56" s="57">
        <f t="shared" si="3"/>
        <v>0.90909090909090906</v>
      </c>
      <c r="M56" s="44">
        <v>78</v>
      </c>
      <c r="N56" s="44">
        <v>22</v>
      </c>
      <c r="O56" s="57">
        <f t="shared" si="2"/>
        <v>0.71794871794871795</v>
      </c>
    </row>
    <row r="57" spans="5:15" x14ac:dyDescent="0.2">
      <c r="E57" s="16"/>
      <c r="F57" s="51" t="s">
        <v>35</v>
      </c>
      <c r="G57" s="25">
        <f>SUM(G52:G56)</f>
        <v>2231</v>
      </c>
      <c r="H57" s="25">
        <f>SUM(H52:H56)</f>
        <v>232</v>
      </c>
      <c r="I57" s="58">
        <f t="shared" si="1"/>
        <v>0.89601075750784398</v>
      </c>
      <c r="J57" s="25">
        <f>SUM(J52:J56)</f>
        <v>242</v>
      </c>
      <c r="K57" s="25">
        <f>SUM(K52:K56)</f>
        <v>6</v>
      </c>
      <c r="L57" s="58">
        <f t="shared" si="3"/>
        <v>0.97520661157024791</v>
      </c>
      <c r="M57" s="25">
        <f>SUM(M52:M56)</f>
        <v>184</v>
      </c>
      <c r="N57" s="25">
        <f>SUM(N52:N56)</f>
        <v>29</v>
      </c>
      <c r="O57" s="58">
        <f t="shared" si="2"/>
        <v>0.84239130434782605</v>
      </c>
    </row>
    <row r="58" spans="5:15" x14ac:dyDescent="0.2">
      <c r="E58" s="18" t="s">
        <v>145</v>
      </c>
      <c r="F58" s="47" t="s">
        <v>8</v>
      </c>
      <c r="G58" s="31">
        <v>343</v>
      </c>
      <c r="H58" s="31">
        <v>0</v>
      </c>
      <c r="I58" s="53">
        <f t="shared" si="1"/>
        <v>1</v>
      </c>
      <c r="J58" s="31">
        <v>62</v>
      </c>
      <c r="K58" s="31">
        <v>2</v>
      </c>
      <c r="L58" s="53">
        <f t="shared" si="3"/>
        <v>0.967741935483871</v>
      </c>
      <c r="M58" s="31">
        <v>28</v>
      </c>
      <c r="N58" s="31">
        <v>0</v>
      </c>
      <c r="O58" s="53">
        <f t="shared" si="2"/>
        <v>1</v>
      </c>
    </row>
    <row r="59" spans="5:15" x14ac:dyDescent="0.2">
      <c r="E59" s="20"/>
      <c r="F59" s="48" t="s">
        <v>10</v>
      </c>
      <c r="G59" s="34">
        <v>442</v>
      </c>
      <c r="H59" s="34">
        <v>5</v>
      </c>
      <c r="I59" s="54">
        <f t="shared" ref="I59:I87" si="4">(G59-H59)/G59</f>
        <v>0.9886877828054299</v>
      </c>
      <c r="J59" s="34">
        <v>76</v>
      </c>
      <c r="K59" s="34">
        <v>1</v>
      </c>
      <c r="L59" s="54">
        <f t="shared" si="3"/>
        <v>0.98684210526315785</v>
      </c>
      <c r="M59" s="34">
        <v>27</v>
      </c>
      <c r="N59" s="34">
        <v>1</v>
      </c>
      <c r="O59" s="54">
        <f t="shared" si="2"/>
        <v>0.96296296296296291</v>
      </c>
    </row>
    <row r="60" spans="5:15" x14ac:dyDescent="0.2">
      <c r="E60" s="20"/>
      <c r="F60" s="49" t="s">
        <v>9</v>
      </c>
      <c r="G60" s="46">
        <v>181</v>
      </c>
      <c r="H60" s="46">
        <v>15</v>
      </c>
      <c r="I60" s="55">
        <f t="shared" si="4"/>
        <v>0.91712707182320441</v>
      </c>
      <c r="J60" s="46">
        <v>18</v>
      </c>
      <c r="K60" s="46">
        <v>0</v>
      </c>
      <c r="L60" s="55">
        <f t="shared" si="3"/>
        <v>1</v>
      </c>
      <c r="M60" s="46">
        <v>22</v>
      </c>
      <c r="N60" s="46">
        <v>3</v>
      </c>
      <c r="O60" s="55">
        <f t="shared" si="2"/>
        <v>0.86363636363636365</v>
      </c>
    </row>
    <row r="61" spans="5:15" x14ac:dyDescent="0.2">
      <c r="E61" s="20"/>
      <c r="F61" s="50" t="s">
        <v>40</v>
      </c>
      <c r="G61" s="28">
        <v>663</v>
      </c>
      <c r="H61" s="52">
        <v>101</v>
      </c>
      <c r="I61" s="56">
        <f t="shared" si="4"/>
        <v>0.84766214177978882</v>
      </c>
      <c r="J61" s="28">
        <v>64</v>
      </c>
      <c r="K61" s="52">
        <v>6</v>
      </c>
      <c r="L61" s="56">
        <f t="shared" si="3"/>
        <v>0.90625</v>
      </c>
      <c r="M61" s="28">
        <v>29</v>
      </c>
      <c r="N61" s="28">
        <v>2</v>
      </c>
      <c r="O61" s="56">
        <f t="shared" si="2"/>
        <v>0.93103448275862066</v>
      </c>
    </row>
    <row r="62" spans="5:15" x14ac:dyDescent="0.2">
      <c r="E62" s="20"/>
      <c r="F62" s="50" t="s">
        <v>39</v>
      </c>
      <c r="G62" s="44">
        <v>602</v>
      </c>
      <c r="H62" s="44">
        <v>162</v>
      </c>
      <c r="I62" s="57">
        <f t="shared" si="4"/>
        <v>0.73089700996677742</v>
      </c>
      <c r="J62" s="44">
        <v>22</v>
      </c>
      <c r="K62" s="44">
        <v>2</v>
      </c>
      <c r="L62" s="57">
        <f t="shared" si="3"/>
        <v>0.90909090909090906</v>
      </c>
      <c r="M62" s="44">
        <v>78</v>
      </c>
      <c r="N62" s="44">
        <v>23</v>
      </c>
      <c r="O62" s="57">
        <f t="shared" si="2"/>
        <v>0.70512820512820518</v>
      </c>
    </row>
    <row r="63" spans="5:15" x14ac:dyDescent="0.2">
      <c r="E63" s="22"/>
      <c r="F63" s="51" t="s">
        <v>35</v>
      </c>
      <c r="G63" s="25">
        <f>SUM(G58:G62)</f>
        <v>2231</v>
      </c>
      <c r="H63" s="25">
        <f>SUM(H58:H62)</f>
        <v>283</v>
      </c>
      <c r="I63" s="58">
        <f t="shared" si="4"/>
        <v>0.87315105333930976</v>
      </c>
      <c r="J63" s="25">
        <f>SUM(J58:J62)</f>
        <v>242</v>
      </c>
      <c r="K63" s="25">
        <f>SUM(K58:K62)</f>
        <v>11</v>
      </c>
      <c r="L63" s="58">
        <f>(J63-K63)/J63</f>
        <v>0.95454545454545459</v>
      </c>
      <c r="M63" s="25">
        <f>SUM(M58:M62)</f>
        <v>184</v>
      </c>
      <c r="N63" s="25">
        <f>SUM(N58:N62)</f>
        <v>29</v>
      </c>
      <c r="O63" s="58">
        <f t="shared" si="2"/>
        <v>0.84239130434782605</v>
      </c>
    </row>
    <row r="64" spans="5:15" x14ac:dyDescent="0.2">
      <c r="E64" s="12" t="s">
        <v>146</v>
      </c>
      <c r="F64" s="47" t="s">
        <v>8</v>
      </c>
      <c r="G64" s="31">
        <v>343</v>
      </c>
      <c r="H64" s="31">
        <v>3</v>
      </c>
      <c r="I64" s="53">
        <f t="shared" si="4"/>
        <v>0.99125364431486884</v>
      </c>
      <c r="J64" s="31">
        <v>62</v>
      </c>
      <c r="K64" s="31">
        <v>0</v>
      </c>
      <c r="L64" s="53">
        <f t="shared" si="3"/>
        <v>1</v>
      </c>
      <c r="M64" s="31">
        <v>28</v>
      </c>
      <c r="N64" s="31">
        <v>1</v>
      </c>
      <c r="O64" s="53">
        <f t="shared" si="2"/>
        <v>0.9642857142857143</v>
      </c>
    </row>
    <row r="65" spans="5:15" x14ac:dyDescent="0.2">
      <c r="E65" s="14"/>
      <c r="F65" s="48" t="s">
        <v>10</v>
      </c>
      <c r="G65" s="34">
        <v>442</v>
      </c>
      <c r="H65" s="34">
        <v>18</v>
      </c>
      <c r="I65" s="54">
        <f t="shared" si="4"/>
        <v>0.95927601809954754</v>
      </c>
      <c r="J65" s="34">
        <v>76</v>
      </c>
      <c r="K65" s="34">
        <v>2</v>
      </c>
      <c r="L65" s="54">
        <f t="shared" si="3"/>
        <v>0.97368421052631582</v>
      </c>
      <c r="M65" s="34">
        <v>27</v>
      </c>
      <c r="N65" s="34">
        <v>2</v>
      </c>
      <c r="O65" s="54">
        <f t="shared" si="2"/>
        <v>0.92592592592592593</v>
      </c>
    </row>
    <row r="66" spans="5:15" x14ac:dyDescent="0.2">
      <c r="E66" s="14"/>
      <c r="F66" s="49" t="s">
        <v>9</v>
      </c>
      <c r="G66" s="46">
        <v>181</v>
      </c>
      <c r="H66" s="46">
        <v>10</v>
      </c>
      <c r="I66" s="55">
        <f t="shared" si="4"/>
        <v>0.94475138121546964</v>
      </c>
      <c r="J66" s="46">
        <v>18</v>
      </c>
      <c r="K66" s="46">
        <v>0</v>
      </c>
      <c r="L66" s="55">
        <f t="shared" si="3"/>
        <v>1</v>
      </c>
      <c r="M66" s="46">
        <v>22</v>
      </c>
      <c r="N66" s="46">
        <v>2</v>
      </c>
      <c r="O66" s="55">
        <f t="shared" si="2"/>
        <v>0.90909090909090906</v>
      </c>
    </row>
    <row r="67" spans="5:15" x14ac:dyDescent="0.2">
      <c r="E67" s="14"/>
      <c r="F67" s="50" t="s">
        <v>40</v>
      </c>
      <c r="G67" s="28">
        <v>663</v>
      </c>
      <c r="H67" s="52">
        <v>79</v>
      </c>
      <c r="I67" s="56">
        <f t="shared" si="4"/>
        <v>0.88084464555052788</v>
      </c>
      <c r="J67" s="28">
        <v>64</v>
      </c>
      <c r="K67" s="52">
        <v>4</v>
      </c>
      <c r="L67" s="56">
        <f t="shared" si="3"/>
        <v>0.9375</v>
      </c>
      <c r="M67" s="28">
        <v>29</v>
      </c>
      <c r="N67" s="28">
        <v>1</v>
      </c>
      <c r="O67" s="56">
        <f t="shared" si="2"/>
        <v>0.96551724137931039</v>
      </c>
    </row>
    <row r="68" spans="5:15" x14ac:dyDescent="0.2">
      <c r="E68" s="14"/>
      <c r="F68" s="50" t="s">
        <v>39</v>
      </c>
      <c r="G68" s="44">
        <v>602</v>
      </c>
      <c r="H68" s="44">
        <v>101</v>
      </c>
      <c r="I68" s="57">
        <f t="shared" si="4"/>
        <v>0.83222591362126241</v>
      </c>
      <c r="J68" s="44">
        <v>22</v>
      </c>
      <c r="K68" s="44">
        <v>2</v>
      </c>
      <c r="L68" s="57">
        <f t="shared" si="3"/>
        <v>0.90909090909090906</v>
      </c>
      <c r="M68" s="44">
        <v>78</v>
      </c>
      <c r="N68" s="44">
        <v>14</v>
      </c>
      <c r="O68" s="57">
        <f t="shared" si="2"/>
        <v>0.82051282051282048</v>
      </c>
    </row>
    <row r="69" spans="5:15" x14ac:dyDescent="0.2">
      <c r="E69" s="16"/>
      <c r="F69" s="51" t="s">
        <v>35</v>
      </c>
      <c r="G69" s="25">
        <f>SUM(G64:G68)</f>
        <v>2231</v>
      </c>
      <c r="H69" s="25">
        <f>SUM(H64:H68)</f>
        <v>211</v>
      </c>
      <c r="I69" s="58">
        <f t="shared" si="4"/>
        <v>0.9054235768713581</v>
      </c>
      <c r="J69" s="25">
        <f>SUM(J64:J68)</f>
        <v>242</v>
      </c>
      <c r="K69" s="25">
        <f>SUM(K64:K68)</f>
        <v>8</v>
      </c>
      <c r="L69" s="58">
        <f t="shared" si="3"/>
        <v>0.96694214876033058</v>
      </c>
      <c r="M69" s="25">
        <f>SUM(M64:M68)</f>
        <v>184</v>
      </c>
      <c r="N69" s="25">
        <f>SUM(N64:N68)</f>
        <v>20</v>
      </c>
      <c r="O69" s="58">
        <f t="shared" si="2"/>
        <v>0.89130434782608692</v>
      </c>
    </row>
    <row r="70" spans="5:15" x14ac:dyDescent="0.2">
      <c r="E70" s="18" t="s">
        <v>147</v>
      </c>
      <c r="F70" s="47" t="s">
        <v>8</v>
      </c>
      <c r="G70" s="31">
        <v>343</v>
      </c>
      <c r="H70" s="31">
        <v>0</v>
      </c>
      <c r="I70" s="53">
        <f t="shared" si="4"/>
        <v>1</v>
      </c>
      <c r="J70" s="31">
        <v>62</v>
      </c>
      <c r="K70" s="31">
        <v>1</v>
      </c>
      <c r="L70" s="53">
        <f t="shared" si="3"/>
        <v>0.9838709677419355</v>
      </c>
      <c r="M70" s="31">
        <v>28</v>
      </c>
      <c r="N70" s="31">
        <v>0</v>
      </c>
      <c r="O70" s="53">
        <f t="shared" si="2"/>
        <v>1</v>
      </c>
    </row>
    <row r="71" spans="5:15" x14ac:dyDescent="0.2">
      <c r="E71" s="20"/>
      <c r="F71" s="48" t="s">
        <v>10</v>
      </c>
      <c r="G71" s="34">
        <v>442</v>
      </c>
      <c r="H71" s="34">
        <v>13</v>
      </c>
      <c r="I71" s="54">
        <f t="shared" si="4"/>
        <v>0.97058823529411764</v>
      </c>
      <c r="J71" s="34">
        <v>76</v>
      </c>
      <c r="K71" s="34">
        <v>4</v>
      </c>
      <c r="L71" s="54">
        <f t="shared" si="3"/>
        <v>0.94736842105263153</v>
      </c>
      <c r="M71" s="34">
        <v>27</v>
      </c>
      <c r="N71" s="34">
        <v>1</v>
      </c>
      <c r="O71" s="54">
        <f t="shared" si="2"/>
        <v>0.96296296296296291</v>
      </c>
    </row>
    <row r="72" spans="5:15" x14ac:dyDescent="0.2">
      <c r="E72" s="20"/>
      <c r="F72" s="49" t="s">
        <v>9</v>
      </c>
      <c r="G72" s="46">
        <v>181</v>
      </c>
      <c r="H72" s="46">
        <v>15</v>
      </c>
      <c r="I72" s="55">
        <f t="shared" si="4"/>
        <v>0.91712707182320441</v>
      </c>
      <c r="J72" s="46">
        <v>18</v>
      </c>
      <c r="K72" s="46">
        <v>0</v>
      </c>
      <c r="L72" s="55">
        <f t="shared" si="3"/>
        <v>1</v>
      </c>
      <c r="M72" s="46">
        <v>22</v>
      </c>
      <c r="N72" s="46">
        <v>3</v>
      </c>
      <c r="O72" s="55">
        <f t="shared" si="2"/>
        <v>0.86363636363636365</v>
      </c>
    </row>
    <row r="73" spans="5:15" x14ac:dyDescent="0.2">
      <c r="E73" s="20"/>
      <c r="F73" s="50" t="s">
        <v>40</v>
      </c>
      <c r="G73" s="28">
        <v>663</v>
      </c>
      <c r="H73" s="52">
        <v>96</v>
      </c>
      <c r="I73" s="56">
        <f t="shared" si="4"/>
        <v>0.85520361990950222</v>
      </c>
      <c r="J73" s="28">
        <v>64</v>
      </c>
      <c r="K73" s="52">
        <v>8</v>
      </c>
      <c r="L73" s="56">
        <f t="shared" si="3"/>
        <v>0.875</v>
      </c>
      <c r="M73" s="28">
        <v>29</v>
      </c>
      <c r="N73" s="28">
        <v>1</v>
      </c>
      <c r="O73" s="56">
        <f t="shared" si="2"/>
        <v>0.96551724137931039</v>
      </c>
    </row>
    <row r="74" spans="5:15" x14ac:dyDescent="0.2">
      <c r="E74" s="20"/>
      <c r="F74" s="50" t="s">
        <v>39</v>
      </c>
      <c r="G74" s="44">
        <v>602</v>
      </c>
      <c r="H74" s="44">
        <v>158</v>
      </c>
      <c r="I74" s="57">
        <f t="shared" si="4"/>
        <v>0.7375415282392026</v>
      </c>
      <c r="J74" s="44">
        <v>22</v>
      </c>
      <c r="K74" s="44">
        <v>7</v>
      </c>
      <c r="L74" s="57">
        <f t="shared" si="3"/>
        <v>0.68181818181818177</v>
      </c>
      <c r="M74" s="44">
        <v>78</v>
      </c>
      <c r="N74" s="44">
        <v>19</v>
      </c>
      <c r="O74" s="57">
        <f t="shared" si="2"/>
        <v>0.75641025641025639</v>
      </c>
    </row>
    <row r="75" spans="5:15" x14ac:dyDescent="0.2">
      <c r="E75" s="22"/>
      <c r="F75" s="51" t="s">
        <v>35</v>
      </c>
      <c r="G75" s="25">
        <f>SUM(G70:G74)</f>
        <v>2231</v>
      </c>
      <c r="H75" s="25">
        <f>SUM(H70:H74)</f>
        <v>282</v>
      </c>
      <c r="I75" s="58">
        <f t="shared" si="4"/>
        <v>0.87359928283281041</v>
      </c>
      <c r="J75" s="25">
        <f>SUM(J70:J74)</f>
        <v>242</v>
      </c>
      <c r="K75" s="25">
        <f>SUM(K70:K74)</f>
        <v>20</v>
      </c>
      <c r="L75" s="58">
        <f t="shared" si="3"/>
        <v>0.9173553719008265</v>
      </c>
      <c r="M75" s="25">
        <f>SUM(M70:M74)</f>
        <v>184</v>
      </c>
      <c r="N75" s="25">
        <f>SUM(N70:N74)</f>
        <v>24</v>
      </c>
      <c r="O75" s="59">
        <f t="shared" si="2"/>
        <v>0.86956521739130432</v>
      </c>
    </row>
    <row r="76" spans="5:15" x14ac:dyDescent="0.2">
      <c r="E76" s="10" t="s">
        <v>11</v>
      </c>
      <c r="F76" s="47" t="s">
        <v>8</v>
      </c>
      <c r="G76" s="31">
        <v>343</v>
      </c>
      <c r="H76" s="31">
        <v>0</v>
      </c>
      <c r="I76" s="53">
        <f t="shared" si="4"/>
        <v>1</v>
      </c>
      <c r="J76" s="31">
        <v>62</v>
      </c>
      <c r="K76" s="31">
        <v>0</v>
      </c>
      <c r="L76" s="53">
        <f t="shared" si="3"/>
        <v>1</v>
      </c>
      <c r="M76" s="31">
        <v>28</v>
      </c>
      <c r="N76" s="31">
        <v>0</v>
      </c>
      <c r="O76" s="54">
        <f t="shared" si="2"/>
        <v>1</v>
      </c>
    </row>
    <row r="77" spans="5:15" x14ac:dyDescent="0.2">
      <c r="E77" s="5"/>
      <c r="F77" s="48" t="s">
        <v>10</v>
      </c>
      <c r="G77" s="34">
        <v>442</v>
      </c>
      <c r="H77" s="34">
        <v>4</v>
      </c>
      <c r="I77" s="54">
        <f t="shared" si="4"/>
        <v>0.99095022624434392</v>
      </c>
      <c r="J77" s="34">
        <v>76</v>
      </c>
      <c r="K77" s="34">
        <v>3</v>
      </c>
      <c r="L77" s="54">
        <f t="shared" si="3"/>
        <v>0.96052631578947367</v>
      </c>
      <c r="M77" s="34">
        <v>27</v>
      </c>
      <c r="N77" s="34">
        <v>0</v>
      </c>
      <c r="O77" s="54">
        <f t="shared" si="2"/>
        <v>1</v>
      </c>
    </row>
    <row r="78" spans="5:15" x14ac:dyDescent="0.2">
      <c r="E78" s="5"/>
      <c r="F78" s="49" t="s">
        <v>9</v>
      </c>
      <c r="G78" s="46">
        <v>181</v>
      </c>
      <c r="H78" s="46">
        <v>0</v>
      </c>
      <c r="I78" s="55">
        <f t="shared" si="4"/>
        <v>1</v>
      </c>
      <c r="J78" s="46">
        <v>18</v>
      </c>
      <c r="K78" s="46">
        <v>0</v>
      </c>
      <c r="L78" s="55">
        <f t="shared" si="3"/>
        <v>1</v>
      </c>
      <c r="M78" s="46">
        <v>22</v>
      </c>
      <c r="N78" s="46">
        <v>0</v>
      </c>
      <c r="O78" s="55">
        <f t="shared" si="2"/>
        <v>1</v>
      </c>
    </row>
    <row r="79" spans="5:15" x14ac:dyDescent="0.2">
      <c r="E79" s="5"/>
      <c r="F79" s="50" t="s">
        <v>40</v>
      </c>
      <c r="G79" s="28">
        <v>663</v>
      </c>
      <c r="H79" s="52">
        <v>87</v>
      </c>
      <c r="I79" s="56">
        <f t="shared" si="4"/>
        <v>0.86877828054298645</v>
      </c>
      <c r="J79" s="28">
        <v>64</v>
      </c>
      <c r="K79" s="52">
        <v>5</v>
      </c>
      <c r="L79" s="56">
        <f t="shared" si="3"/>
        <v>0.921875</v>
      </c>
      <c r="M79" s="28">
        <v>29</v>
      </c>
      <c r="N79" s="28">
        <v>2</v>
      </c>
      <c r="O79" s="56">
        <f t="shared" si="2"/>
        <v>0.93103448275862066</v>
      </c>
    </row>
    <row r="80" spans="5:15" x14ac:dyDescent="0.2">
      <c r="E80" s="5"/>
      <c r="F80" s="50" t="s">
        <v>39</v>
      </c>
      <c r="G80" s="44">
        <v>602</v>
      </c>
      <c r="H80" s="44">
        <v>17</v>
      </c>
      <c r="I80" s="57">
        <f t="shared" si="4"/>
        <v>0.97176079734219267</v>
      </c>
      <c r="J80" s="44">
        <v>22</v>
      </c>
      <c r="K80" s="44">
        <v>0</v>
      </c>
      <c r="L80" s="57">
        <f t="shared" si="3"/>
        <v>1</v>
      </c>
      <c r="M80" s="44">
        <v>78</v>
      </c>
      <c r="N80" s="44">
        <v>3</v>
      </c>
      <c r="O80" s="57">
        <f t="shared" si="2"/>
        <v>0.96153846153846156</v>
      </c>
    </row>
    <row r="81" spans="5:15" x14ac:dyDescent="0.2">
      <c r="E81" s="9"/>
      <c r="F81" s="51" t="s">
        <v>35</v>
      </c>
      <c r="G81" s="25">
        <f>SUM(G76:G80)</f>
        <v>2231</v>
      </c>
      <c r="H81" s="25">
        <f>SUM(H76:H80)</f>
        <v>108</v>
      </c>
      <c r="I81" s="58">
        <f t="shared" si="4"/>
        <v>0.95159121470192742</v>
      </c>
      <c r="J81" s="25">
        <f>SUM(J76:J80)</f>
        <v>242</v>
      </c>
      <c r="K81" s="25">
        <f>SUM(K76:K80)</f>
        <v>8</v>
      </c>
      <c r="L81" s="58">
        <f t="shared" si="3"/>
        <v>0.96694214876033058</v>
      </c>
      <c r="M81" s="25">
        <f>SUM(M76:M80)</f>
        <v>184</v>
      </c>
      <c r="N81" s="25">
        <f>SUM(N76:N80)</f>
        <v>5</v>
      </c>
      <c r="O81" s="58">
        <f t="shared" si="2"/>
        <v>0.97282608695652173</v>
      </c>
    </row>
    <row r="82" spans="5:15" x14ac:dyDescent="0.2">
      <c r="E82" s="10" t="s">
        <v>15</v>
      </c>
      <c r="F82" s="47" t="s">
        <v>8</v>
      </c>
      <c r="G82" s="31">
        <v>343</v>
      </c>
      <c r="H82" s="31">
        <v>28</v>
      </c>
      <c r="I82" s="53">
        <f t="shared" si="4"/>
        <v>0.91836734693877553</v>
      </c>
      <c r="J82" s="31">
        <v>62</v>
      </c>
      <c r="K82" s="31">
        <v>16</v>
      </c>
      <c r="L82" s="53">
        <f t="shared" si="3"/>
        <v>0.74193548387096775</v>
      </c>
      <c r="M82" s="31">
        <v>28</v>
      </c>
      <c r="N82" s="31">
        <v>2</v>
      </c>
      <c r="O82" s="53">
        <f t="shared" si="2"/>
        <v>0.9285714285714286</v>
      </c>
    </row>
    <row r="83" spans="5:15" x14ac:dyDescent="0.2">
      <c r="E83" s="5"/>
      <c r="F83" s="48" t="s">
        <v>10</v>
      </c>
      <c r="G83" s="34">
        <v>442</v>
      </c>
      <c r="H83" s="34">
        <v>71</v>
      </c>
      <c r="I83" s="54">
        <f t="shared" si="4"/>
        <v>0.83936651583710409</v>
      </c>
      <c r="J83" s="34">
        <v>76</v>
      </c>
      <c r="K83" s="34">
        <v>27</v>
      </c>
      <c r="L83" s="54">
        <f t="shared" si="3"/>
        <v>0.64473684210526316</v>
      </c>
      <c r="M83" s="34">
        <v>27</v>
      </c>
      <c r="N83" s="34">
        <v>0</v>
      </c>
      <c r="O83" s="54">
        <f t="shared" si="2"/>
        <v>1</v>
      </c>
    </row>
    <row r="84" spans="5:15" x14ac:dyDescent="0.2">
      <c r="E84" s="5"/>
      <c r="F84" s="49" t="s">
        <v>9</v>
      </c>
      <c r="G84" s="46">
        <v>181</v>
      </c>
      <c r="H84" s="46">
        <v>21</v>
      </c>
      <c r="I84" s="55">
        <f t="shared" si="4"/>
        <v>0.88397790055248615</v>
      </c>
      <c r="J84" s="46">
        <v>18</v>
      </c>
      <c r="K84" s="46">
        <v>10</v>
      </c>
      <c r="L84" s="55">
        <f t="shared" si="3"/>
        <v>0.44444444444444442</v>
      </c>
      <c r="M84" s="46">
        <v>22</v>
      </c>
      <c r="N84" s="46">
        <v>0</v>
      </c>
      <c r="O84" s="55">
        <f t="shared" si="2"/>
        <v>1</v>
      </c>
    </row>
    <row r="85" spans="5:15" x14ac:dyDescent="0.2">
      <c r="E85" s="5"/>
      <c r="F85" s="50" t="s">
        <v>40</v>
      </c>
      <c r="G85" s="28">
        <v>663</v>
      </c>
      <c r="H85" s="52">
        <v>162</v>
      </c>
      <c r="I85" s="56">
        <f t="shared" si="4"/>
        <v>0.75565610859728505</v>
      </c>
      <c r="J85" s="28">
        <v>64</v>
      </c>
      <c r="K85" s="52">
        <v>16</v>
      </c>
      <c r="L85" s="56">
        <f t="shared" si="3"/>
        <v>0.75</v>
      </c>
      <c r="M85" s="28">
        <v>29</v>
      </c>
      <c r="N85" s="28">
        <v>4</v>
      </c>
      <c r="O85" s="56">
        <f t="shared" si="2"/>
        <v>0.86206896551724133</v>
      </c>
    </row>
    <row r="86" spans="5:15" x14ac:dyDescent="0.2">
      <c r="E86" s="5"/>
      <c r="F86" s="50" t="s">
        <v>39</v>
      </c>
      <c r="G86" s="44">
        <v>602</v>
      </c>
      <c r="H86" s="44">
        <v>141</v>
      </c>
      <c r="I86" s="57">
        <f t="shared" si="4"/>
        <v>0.76578073089700993</v>
      </c>
      <c r="J86" s="44">
        <v>22</v>
      </c>
      <c r="K86" s="44">
        <v>8</v>
      </c>
      <c r="L86" s="57">
        <f t="shared" si="3"/>
        <v>0.63636363636363635</v>
      </c>
      <c r="M86" s="44">
        <v>78</v>
      </c>
      <c r="N86" s="44">
        <v>14</v>
      </c>
      <c r="O86" s="57">
        <f t="shared" si="2"/>
        <v>0.82051282051282048</v>
      </c>
    </row>
    <row r="87" spans="5:15" x14ac:dyDescent="0.2">
      <c r="E87" s="9"/>
      <c r="F87" s="51" t="s">
        <v>35</v>
      </c>
      <c r="G87" s="25">
        <f>SUM(G82:G86)</f>
        <v>2231</v>
      </c>
      <c r="H87" s="25">
        <f>SUM(H82:H86)</f>
        <v>423</v>
      </c>
      <c r="I87" s="58">
        <f t="shared" si="4"/>
        <v>0.81039892424921556</v>
      </c>
      <c r="J87" s="25">
        <f>SUM(J82:J86)</f>
        <v>242</v>
      </c>
      <c r="K87" s="25">
        <f>SUM(K82:K86)</f>
        <v>77</v>
      </c>
      <c r="L87" s="58">
        <f t="shared" si="3"/>
        <v>0.68181818181818177</v>
      </c>
      <c r="M87" s="25">
        <f>SUM(M82:M86)</f>
        <v>184</v>
      </c>
      <c r="N87" s="25">
        <f>SUM(N82:N86)</f>
        <v>20</v>
      </c>
      <c r="O87" s="58">
        <f>(M87-N87)/M87</f>
        <v>0.89130434782608692</v>
      </c>
    </row>
    <row r="90" spans="5:15" x14ac:dyDescent="0.2">
      <c r="E90" t="s">
        <v>142</v>
      </c>
      <c r="G90" t="s">
        <v>142</v>
      </c>
      <c r="K90" t="s">
        <v>158</v>
      </c>
    </row>
    <row r="91" spans="5:15" x14ac:dyDescent="0.2">
      <c r="E91" s="1" t="s">
        <v>20</v>
      </c>
      <c r="F91" s="3" t="s">
        <v>29</v>
      </c>
      <c r="G91" s="2" t="s">
        <v>140</v>
      </c>
      <c r="H91" s="2" t="s">
        <v>154</v>
      </c>
      <c r="I91" s="3" t="s">
        <v>141</v>
      </c>
      <c r="K91" s="1" t="s">
        <v>20</v>
      </c>
      <c r="L91" s="66" t="s">
        <v>143</v>
      </c>
      <c r="M91" s="2" t="s">
        <v>139</v>
      </c>
      <c r="N91" s="2" t="s">
        <v>157</v>
      </c>
      <c r="O91" s="43" t="s">
        <v>181</v>
      </c>
    </row>
    <row r="92" spans="5:15" x14ac:dyDescent="0.2">
      <c r="E92" s="12" t="s">
        <v>144</v>
      </c>
      <c r="F92" s="47" t="s">
        <v>8</v>
      </c>
      <c r="G92" s="31">
        <v>84</v>
      </c>
      <c r="H92" s="31">
        <v>84</v>
      </c>
      <c r="I92" s="53">
        <f>H92/G92</f>
        <v>1</v>
      </c>
      <c r="K92" s="12" t="s">
        <v>144</v>
      </c>
      <c r="L92" s="67">
        <v>0.89601075750784398</v>
      </c>
      <c r="M92" s="67">
        <v>0.97520661157024791</v>
      </c>
      <c r="N92" s="67">
        <v>0.84239130434782605</v>
      </c>
      <c r="O92" s="67">
        <f t="shared" ref="O92:O97" si="5">SUM(L92:N92)/3</f>
        <v>0.90453622447530602</v>
      </c>
    </row>
    <row r="93" spans="5:15" x14ac:dyDescent="0.2">
      <c r="E93" s="14"/>
      <c r="F93" s="48" t="s">
        <v>10</v>
      </c>
      <c r="G93" s="34">
        <v>94</v>
      </c>
      <c r="H93" s="34">
        <v>84</v>
      </c>
      <c r="I93" s="54">
        <f t="shared" ref="I93:I127" si="6">H93/G93</f>
        <v>0.8936170212765957</v>
      </c>
      <c r="K93" s="18" t="s">
        <v>145</v>
      </c>
      <c r="L93" s="67">
        <v>0.87315105333930976</v>
      </c>
      <c r="M93" s="67">
        <v>0.95454545454545459</v>
      </c>
      <c r="N93" s="67">
        <v>0.84239130434782605</v>
      </c>
      <c r="O93" s="67">
        <f t="shared" si="5"/>
        <v>0.89002927074419691</v>
      </c>
    </row>
    <row r="94" spans="5:15" x14ac:dyDescent="0.2">
      <c r="E94" s="14"/>
      <c r="F94" s="49" t="s">
        <v>9</v>
      </c>
      <c r="G94" s="45">
        <v>34</v>
      </c>
      <c r="H94" s="46">
        <v>28</v>
      </c>
      <c r="I94" s="55">
        <f t="shared" si="6"/>
        <v>0.82352941176470584</v>
      </c>
      <c r="K94" s="12" t="s">
        <v>146</v>
      </c>
      <c r="L94" s="67">
        <v>0.9054235768713581</v>
      </c>
      <c r="M94" s="67">
        <v>0.96694214876033058</v>
      </c>
      <c r="N94" s="67">
        <v>0.89130434782608692</v>
      </c>
      <c r="O94" s="67">
        <f t="shared" si="5"/>
        <v>0.92122335781925857</v>
      </c>
    </row>
    <row r="95" spans="5:15" x14ac:dyDescent="0.2">
      <c r="E95" s="14"/>
      <c r="F95" s="50" t="s">
        <v>40</v>
      </c>
      <c r="G95" s="28">
        <v>96</v>
      </c>
      <c r="H95" s="28">
        <v>78</v>
      </c>
      <c r="I95" s="56">
        <f t="shared" si="6"/>
        <v>0.8125</v>
      </c>
      <c r="K95" s="18" t="s">
        <v>147</v>
      </c>
      <c r="L95" s="67">
        <v>0.87359928283281041</v>
      </c>
      <c r="M95" s="67">
        <v>0.9173553719008265</v>
      </c>
      <c r="N95" s="67">
        <v>0.86956521739130432</v>
      </c>
      <c r="O95" s="67">
        <f t="shared" si="5"/>
        <v>0.88683995737498034</v>
      </c>
    </row>
    <row r="96" spans="5:15" x14ac:dyDescent="0.2">
      <c r="E96" s="14"/>
      <c r="F96" s="50" t="s">
        <v>39</v>
      </c>
      <c r="G96" s="60">
        <v>113</v>
      </c>
      <c r="H96" s="44">
        <v>72</v>
      </c>
      <c r="I96" s="57">
        <f t="shared" si="6"/>
        <v>0.63716814159292035</v>
      </c>
      <c r="K96" s="10" t="s">
        <v>11</v>
      </c>
      <c r="L96" s="67">
        <v>0.95159121470192742</v>
      </c>
      <c r="M96" s="67">
        <v>0.96694214876033058</v>
      </c>
      <c r="N96" s="67">
        <v>0.97282608695652173</v>
      </c>
      <c r="O96" s="67">
        <f t="shared" si="5"/>
        <v>0.96378648347292672</v>
      </c>
    </row>
    <row r="97" spans="5:17" x14ac:dyDescent="0.2">
      <c r="E97" s="16"/>
      <c r="F97" s="51" t="s">
        <v>35</v>
      </c>
      <c r="G97" s="25">
        <f>SUM(G92:G96)</f>
        <v>421</v>
      </c>
      <c r="H97" s="25">
        <f>SUM(H92:H96)</f>
        <v>346</v>
      </c>
      <c r="I97" s="58">
        <f t="shared" si="6"/>
        <v>0.82185273159144889</v>
      </c>
      <c r="K97" s="10" t="s">
        <v>15</v>
      </c>
      <c r="L97" s="67">
        <v>0.81039892424921556</v>
      </c>
      <c r="M97" s="67">
        <v>0.68181818181818177</v>
      </c>
      <c r="N97" s="67">
        <v>0.89130434782608692</v>
      </c>
      <c r="O97" s="67">
        <f t="shared" si="5"/>
        <v>0.79450715129782801</v>
      </c>
    </row>
    <row r="98" spans="5:17" x14ac:dyDescent="0.2">
      <c r="E98" s="18" t="s">
        <v>145</v>
      </c>
      <c r="F98" s="47" t="s">
        <v>8</v>
      </c>
      <c r="G98" s="31">
        <v>84</v>
      </c>
      <c r="H98" s="31">
        <v>83</v>
      </c>
      <c r="I98" s="53">
        <f t="shared" si="6"/>
        <v>0.98809523809523814</v>
      </c>
    </row>
    <row r="99" spans="5:17" x14ac:dyDescent="0.2">
      <c r="E99" s="20"/>
      <c r="F99" s="48" t="s">
        <v>10</v>
      </c>
      <c r="G99" s="34">
        <v>94</v>
      </c>
      <c r="H99" s="34">
        <v>85</v>
      </c>
      <c r="I99" s="54">
        <f t="shared" si="6"/>
        <v>0.9042553191489362</v>
      </c>
      <c r="P99" t="s">
        <v>158</v>
      </c>
    </row>
    <row r="100" spans="5:17" x14ac:dyDescent="0.2">
      <c r="E100" s="20"/>
      <c r="F100" s="49" t="s">
        <v>9</v>
      </c>
      <c r="G100" s="45">
        <v>34</v>
      </c>
      <c r="H100" s="46">
        <v>30</v>
      </c>
      <c r="I100" s="55">
        <f t="shared" si="6"/>
        <v>0.88235294117647056</v>
      </c>
      <c r="K100" t="s">
        <v>141</v>
      </c>
      <c r="P100" s="1" t="s">
        <v>20</v>
      </c>
      <c r="Q100" s="43" t="s">
        <v>181</v>
      </c>
    </row>
    <row r="101" spans="5:17" x14ac:dyDescent="0.2">
      <c r="E101" s="20"/>
      <c r="F101" s="50" t="s">
        <v>40</v>
      </c>
      <c r="G101" s="28">
        <v>96</v>
      </c>
      <c r="H101" s="28">
        <v>75</v>
      </c>
      <c r="I101" s="56">
        <f t="shared" si="6"/>
        <v>0.78125</v>
      </c>
      <c r="K101" s="1" t="s">
        <v>20</v>
      </c>
      <c r="L101" s="66" t="s">
        <v>141</v>
      </c>
      <c r="P101" s="12" t="s">
        <v>144</v>
      </c>
      <c r="Q101" s="67">
        <v>0.90453622447530602</v>
      </c>
    </row>
    <row r="102" spans="5:17" x14ac:dyDescent="0.2">
      <c r="E102" s="20"/>
      <c r="F102" s="50" t="s">
        <v>39</v>
      </c>
      <c r="G102" s="60">
        <v>113</v>
      </c>
      <c r="H102" s="44">
        <v>71</v>
      </c>
      <c r="I102" s="57">
        <f t="shared" si="6"/>
        <v>0.62831858407079644</v>
      </c>
      <c r="K102" s="12" t="s">
        <v>144</v>
      </c>
      <c r="L102" s="67">
        <v>0.82185273159144889</v>
      </c>
      <c r="P102" s="18" t="s">
        <v>145</v>
      </c>
      <c r="Q102" s="67">
        <v>0.89002927074419691</v>
      </c>
    </row>
    <row r="103" spans="5:17" x14ac:dyDescent="0.2">
      <c r="E103" s="22"/>
      <c r="F103" s="51" t="s">
        <v>35</v>
      </c>
      <c r="G103" s="25">
        <f t="shared" ref="G103:H103" si="7">SUM(G98:G102)</f>
        <v>421</v>
      </c>
      <c r="H103" s="25">
        <f t="shared" si="7"/>
        <v>344</v>
      </c>
      <c r="I103" s="58">
        <f t="shared" si="6"/>
        <v>0.81710213776722085</v>
      </c>
      <c r="K103" s="18" t="s">
        <v>145</v>
      </c>
      <c r="L103" s="67">
        <v>0.81710213776722085</v>
      </c>
      <c r="P103" s="12" t="s">
        <v>146</v>
      </c>
      <c r="Q103" s="67">
        <v>0.92122335781925857</v>
      </c>
    </row>
    <row r="104" spans="5:17" x14ac:dyDescent="0.2">
      <c r="E104" s="12" t="s">
        <v>146</v>
      </c>
      <c r="F104" s="47" t="s">
        <v>8</v>
      </c>
      <c r="G104" s="31">
        <v>84</v>
      </c>
      <c r="H104" s="31">
        <v>82</v>
      </c>
      <c r="I104" s="53">
        <f t="shared" si="6"/>
        <v>0.97619047619047616</v>
      </c>
      <c r="K104" s="12" t="s">
        <v>146</v>
      </c>
      <c r="L104" s="67">
        <v>0.85035629453681705</v>
      </c>
      <c r="P104" s="18" t="s">
        <v>147</v>
      </c>
      <c r="Q104" s="67">
        <v>0.88683995737498034</v>
      </c>
    </row>
    <row r="105" spans="5:17" x14ac:dyDescent="0.2">
      <c r="E105" s="14"/>
      <c r="F105" s="48" t="s">
        <v>10</v>
      </c>
      <c r="G105" s="34">
        <v>94</v>
      </c>
      <c r="H105" s="34">
        <v>84</v>
      </c>
      <c r="I105" s="54">
        <f t="shared" si="6"/>
        <v>0.8936170212765957</v>
      </c>
      <c r="K105" s="18" t="s">
        <v>147</v>
      </c>
      <c r="L105" s="67">
        <v>0.82660332541567694</v>
      </c>
      <c r="P105" s="10" t="s">
        <v>11</v>
      </c>
      <c r="Q105" s="67">
        <v>0.96378648347292672</v>
      </c>
    </row>
    <row r="106" spans="5:17" x14ac:dyDescent="0.2">
      <c r="E106" s="14"/>
      <c r="F106" s="49" t="s">
        <v>9</v>
      </c>
      <c r="G106" s="45">
        <v>34</v>
      </c>
      <c r="H106" s="46">
        <v>32</v>
      </c>
      <c r="I106" s="55">
        <f t="shared" si="6"/>
        <v>0.94117647058823528</v>
      </c>
      <c r="K106" s="10" t="s">
        <v>11</v>
      </c>
      <c r="L106" s="67">
        <v>0.89397590361445778</v>
      </c>
      <c r="P106" s="10" t="s">
        <v>15</v>
      </c>
      <c r="Q106" s="67">
        <v>0.79450715129782801</v>
      </c>
    </row>
    <row r="107" spans="5:17" x14ac:dyDescent="0.2">
      <c r="E107" s="14"/>
      <c r="F107" s="50" t="s">
        <v>40</v>
      </c>
      <c r="G107" s="28">
        <v>96</v>
      </c>
      <c r="H107" s="28">
        <v>74</v>
      </c>
      <c r="I107" s="56">
        <f t="shared" si="6"/>
        <v>0.77083333333333337</v>
      </c>
      <c r="K107" s="10" t="s">
        <v>15</v>
      </c>
      <c r="L107" s="67">
        <v>0.71807228915662646</v>
      </c>
    </row>
    <row r="108" spans="5:17" x14ac:dyDescent="0.2">
      <c r="E108" s="14"/>
      <c r="F108" s="50" t="s">
        <v>39</v>
      </c>
      <c r="G108" s="60">
        <v>113</v>
      </c>
      <c r="H108" s="44">
        <v>86</v>
      </c>
      <c r="I108" s="57">
        <f t="shared" si="6"/>
        <v>0.76106194690265483</v>
      </c>
    </row>
    <row r="109" spans="5:17" x14ac:dyDescent="0.2">
      <c r="E109" s="16"/>
      <c r="F109" s="51" t="s">
        <v>35</v>
      </c>
      <c r="G109" s="25">
        <f t="shared" ref="G109:H109" si="8">SUM(G104:G108)</f>
        <v>421</v>
      </c>
      <c r="H109" s="25">
        <f t="shared" si="8"/>
        <v>358</v>
      </c>
      <c r="I109" s="58">
        <f t="shared" si="6"/>
        <v>0.85035629453681705</v>
      </c>
    </row>
    <row r="110" spans="5:17" x14ac:dyDescent="0.2">
      <c r="E110" s="18" t="s">
        <v>147</v>
      </c>
      <c r="F110" s="47" t="s">
        <v>8</v>
      </c>
      <c r="G110" s="31">
        <v>84</v>
      </c>
      <c r="H110" s="31">
        <v>83</v>
      </c>
      <c r="I110" s="53">
        <f t="shared" si="6"/>
        <v>0.98809523809523814</v>
      </c>
      <c r="K110" t="s">
        <v>159</v>
      </c>
      <c r="N110" t="s">
        <v>159</v>
      </c>
    </row>
    <row r="111" spans="5:17" x14ac:dyDescent="0.2">
      <c r="E111" s="20"/>
      <c r="F111" s="48" t="s">
        <v>10</v>
      </c>
      <c r="G111" s="34">
        <v>94</v>
      </c>
      <c r="H111" s="34">
        <v>83</v>
      </c>
      <c r="I111" s="54">
        <f t="shared" si="6"/>
        <v>0.88297872340425532</v>
      </c>
      <c r="K111" s="1" t="s">
        <v>20</v>
      </c>
      <c r="L111" s="66" t="s">
        <v>160</v>
      </c>
      <c r="N111" s="1" t="s">
        <v>20</v>
      </c>
      <c r="O111" s="1" t="s">
        <v>163</v>
      </c>
    </row>
    <row r="112" spans="5:17" x14ac:dyDescent="0.2">
      <c r="E112" s="20"/>
      <c r="F112" s="49" t="s">
        <v>9</v>
      </c>
      <c r="G112" s="45">
        <v>34</v>
      </c>
      <c r="H112" s="46">
        <v>31</v>
      </c>
      <c r="I112" s="55">
        <f t="shared" si="6"/>
        <v>0.91176470588235292</v>
      </c>
      <c r="K112" s="12" t="s">
        <v>144</v>
      </c>
      <c r="L112" s="68">
        <v>1854</v>
      </c>
      <c r="N112" s="12" t="s">
        <v>144</v>
      </c>
      <c r="O112">
        <v>116</v>
      </c>
    </row>
    <row r="113" spans="5:15" x14ac:dyDescent="0.2">
      <c r="E113" s="20"/>
      <c r="F113" s="50" t="s">
        <v>40</v>
      </c>
      <c r="G113" s="28">
        <v>96</v>
      </c>
      <c r="H113" s="28">
        <v>77</v>
      </c>
      <c r="I113" s="56">
        <f t="shared" si="6"/>
        <v>0.80208333333333337</v>
      </c>
      <c r="K113" s="18" t="s">
        <v>145</v>
      </c>
      <c r="L113" s="68">
        <v>1380</v>
      </c>
      <c r="N113" s="18" t="s">
        <v>145</v>
      </c>
      <c r="O113">
        <v>149</v>
      </c>
    </row>
    <row r="114" spans="5:15" x14ac:dyDescent="0.2">
      <c r="E114" s="20"/>
      <c r="F114" s="50" t="s">
        <v>39</v>
      </c>
      <c r="G114" s="60">
        <v>113</v>
      </c>
      <c r="H114" s="44">
        <v>74</v>
      </c>
      <c r="I114" s="57">
        <f t="shared" si="6"/>
        <v>0.65486725663716816</v>
      </c>
      <c r="K114" s="12" t="s">
        <v>146</v>
      </c>
      <c r="L114" s="68">
        <v>2216</v>
      </c>
      <c r="N114" s="12" t="s">
        <v>146</v>
      </c>
      <c r="O114">
        <v>185</v>
      </c>
    </row>
    <row r="115" spans="5:15" x14ac:dyDescent="0.2">
      <c r="E115" s="22"/>
      <c r="F115" s="51" t="s">
        <v>35</v>
      </c>
      <c r="G115" s="25">
        <f t="shared" ref="G115:H115" si="9">SUM(G110:G114)</f>
        <v>421</v>
      </c>
      <c r="H115" s="25">
        <f t="shared" si="9"/>
        <v>348</v>
      </c>
      <c r="I115" s="58">
        <f t="shared" si="6"/>
        <v>0.82660332541567694</v>
      </c>
      <c r="K115" s="18" t="s">
        <v>147</v>
      </c>
      <c r="L115" s="68">
        <v>1517</v>
      </c>
      <c r="N115" s="18" t="s">
        <v>147</v>
      </c>
      <c r="O115">
        <v>153</v>
      </c>
    </row>
    <row r="116" spans="5:15" x14ac:dyDescent="0.2">
      <c r="E116" s="10" t="s">
        <v>11</v>
      </c>
      <c r="F116" s="47" t="s">
        <v>8</v>
      </c>
      <c r="G116" s="31">
        <v>84</v>
      </c>
      <c r="H116" s="31">
        <v>81</v>
      </c>
      <c r="I116" s="53">
        <f t="shared" si="6"/>
        <v>0.9642857142857143</v>
      </c>
      <c r="K116" s="10" t="s">
        <v>11</v>
      </c>
      <c r="L116" s="68">
        <v>6141</v>
      </c>
      <c r="N116" s="10" t="s">
        <v>11</v>
      </c>
      <c r="O116">
        <v>485</v>
      </c>
    </row>
    <row r="117" spans="5:15" x14ac:dyDescent="0.2">
      <c r="E117" s="5"/>
      <c r="F117" s="48" t="s">
        <v>10</v>
      </c>
      <c r="G117" s="34">
        <v>94</v>
      </c>
      <c r="H117" s="34">
        <v>81</v>
      </c>
      <c r="I117" s="54">
        <f t="shared" si="6"/>
        <v>0.86170212765957444</v>
      </c>
      <c r="K117" s="10" t="s">
        <v>15</v>
      </c>
      <c r="L117" s="68">
        <v>250338</v>
      </c>
      <c r="N117" s="10" t="s">
        <v>15</v>
      </c>
      <c r="O117">
        <v>4147</v>
      </c>
    </row>
    <row r="118" spans="5:15" x14ac:dyDescent="0.2">
      <c r="E118" s="5"/>
      <c r="F118" s="49" t="s">
        <v>9</v>
      </c>
      <c r="G118" s="45">
        <v>34</v>
      </c>
      <c r="H118" s="46">
        <v>33</v>
      </c>
      <c r="I118" s="55">
        <f t="shared" si="6"/>
        <v>0.97058823529411764</v>
      </c>
    </row>
    <row r="119" spans="5:15" x14ac:dyDescent="0.2">
      <c r="E119" s="5"/>
      <c r="F119" s="50" t="s">
        <v>40</v>
      </c>
      <c r="G119" s="28">
        <v>90</v>
      </c>
      <c r="H119" s="28">
        <v>85</v>
      </c>
      <c r="I119" s="56">
        <f t="shared" si="6"/>
        <v>0.94444444444444442</v>
      </c>
    </row>
    <row r="120" spans="5:15" x14ac:dyDescent="0.2">
      <c r="E120" s="5"/>
      <c r="F120" s="50" t="s">
        <v>39</v>
      </c>
      <c r="G120" s="60">
        <v>113</v>
      </c>
      <c r="H120" s="44">
        <v>91</v>
      </c>
      <c r="I120" s="57">
        <f t="shared" si="6"/>
        <v>0.80530973451327437</v>
      </c>
      <c r="K120" t="s">
        <v>30</v>
      </c>
    </row>
    <row r="121" spans="5:15" x14ac:dyDescent="0.2">
      <c r="E121" s="9"/>
      <c r="F121" s="51" t="s">
        <v>35</v>
      </c>
      <c r="G121" s="25">
        <f t="shared" ref="G121:H121" si="10">SUM(G116:G120)</f>
        <v>415</v>
      </c>
      <c r="H121" s="25">
        <f t="shared" si="10"/>
        <v>371</v>
      </c>
      <c r="I121" s="58">
        <f t="shared" si="6"/>
        <v>0.89397590361445778</v>
      </c>
      <c r="K121" s="1" t="s">
        <v>20</v>
      </c>
      <c r="L121" s="66" t="s">
        <v>161</v>
      </c>
      <c r="M121" s="69" t="s">
        <v>162</v>
      </c>
    </row>
    <row r="122" spans="5:15" x14ac:dyDescent="0.2">
      <c r="E122" s="10" t="s">
        <v>15</v>
      </c>
      <c r="F122" s="47" t="s">
        <v>8</v>
      </c>
      <c r="G122" s="31">
        <v>84</v>
      </c>
      <c r="H122" s="31">
        <v>66</v>
      </c>
      <c r="I122" s="53">
        <f t="shared" si="6"/>
        <v>0.7857142857142857</v>
      </c>
      <c r="K122" s="12" t="s">
        <v>144</v>
      </c>
      <c r="L122" s="67">
        <v>0.97413793103448276</v>
      </c>
      <c r="M122">
        <v>3</v>
      </c>
    </row>
    <row r="123" spans="5:15" x14ac:dyDescent="0.2">
      <c r="E123" s="5"/>
      <c r="F123" s="48" t="s">
        <v>10</v>
      </c>
      <c r="G123" s="34">
        <v>94</v>
      </c>
      <c r="H123" s="34">
        <v>55</v>
      </c>
      <c r="I123" s="54">
        <f t="shared" si="6"/>
        <v>0.58510638297872342</v>
      </c>
      <c r="K123" s="18" t="s">
        <v>145</v>
      </c>
      <c r="L123" s="67">
        <v>0.99328859060402686</v>
      </c>
      <c r="M123">
        <v>1</v>
      </c>
    </row>
    <row r="124" spans="5:15" x14ac:dyDescent="0.2">
      <c r="E124" s="5"/>
      <c r="F124" s="49" t="s">
        <v>9</v>
      </c>
      <c r="G124" s="45">
        <v>34</v>
      </c>
      <c r="H124" s="46">
        <v>27</v>
      </c>
      <c r="I124" s="55">
        <f t="shared" si="6"/>
        <v>0.79411764705882348</v>
      </c>
      <c r="K124" s="12" t="s">
        <v>146</v>
      </c>
      <c r="L124" s="67">
        <v>0.98918918918918919</v>
      </c>
      <c r="M124">
        <v>2</v>
      </c>
    </row>
    <row r="125" spans="5:15" x14ac:dyDescent="0.2">
      <c r="E125" s="5"/>
      <c r="F125" s="50" t="s">
        <v>40</v>
      </c>
      <c r="G125" s="28">
        <v>90</v>
      </c>
      <c r="H125" s="28">
        <v>61</v>
      </c>
      <c r="I125" s="56">
        <f t="shared" si="6"/>
        <v>0.67777777777777781</v>
      </c>
      <c r="K125" s="18" t="s">
        <v>147</v>
      </c>
      <c r="L125" s="67">
        <v>0.98039215686274506</v>
      </c>
      <c r="M125">
        <v>3</v>
      </c>
    </row>
    <row r="126" spans="5:15" x14ac:dyDescent="0.2">
      <c r="E126" s="5"/>
      <c r="F126" s="50" t="s">
        <v>39</v>
      </c>
      <c r="G126" s="60">
        <v>113</v>
      </c>
      <c r="H126" s="44">
        <v>89</v>
      </c>
      <c r="I126" s="57">
        <f t="shared" si="6"/>
        <v>0.78761061946902655</v>
      </c>
      <c r="K126" s="10" t="s">
        <v>11</v>
      </c>
      <c r="L126" s="67">
        <v>1</v>
      </c>
      <c r="M126">
        <v>0</v>
      </c>
    </row>
    <row r="127" spans="5:15" x14ac:dyDescent="0.2">
      <c r="E127" s="9"/>
      <c r="F127" s="51" t="s">
        <v>35</v>
      </c>
      <c r="G127" s="25">
        <f t="shared" ref="G127:H127" si="11">SUM(G122:G126)</f>
        <v>415</v>
      </c>
      <c r="H127" s="25">
        <f t="shared" si="11"/>
        <v>298</v>
      </c>
      <c r="I127" s="58">
        <f t="shared" si="6"/>
        <v>0.71807228915662646</v>
      </c>
      <c r="K127" s="10" t="s">
        <v>15</v>
      </c>
      <c r="L127" s="67">
        <v>1</v>
      </c>
      <c r="M127">
        <v>0</v>
      </c>
    </row>
    <row r="130" spans="11:16" x14ac:dyDescent="0.2">
      <c r="K130" t="s">
        <v>164</v>
      </c>
      <c r="O130" t="s">
        <v>31</v>
      </c>
    </row>
    <row r="131" spans="11:16" x14ac:dyDescent="0.2">
      <c r="K131" s="1" t="s">
        <v>20</v>
      </c>
      <c r="L131" t="s">
        <v>165</v>
      </c>
      <c r="M131" t="s">
        <v>166</v>
      </c>
      <c r="O131" s="1" t="s">
        <v>20</v>
      </c>
      <c r="P131" t="s">
        <v>31</v>
      </c>
    </row>
    <row r="132" spans="11:16" x14ac:dyDescent="0.2">
      <c r="K132" s="12" t="s">
        <v>144</v>
      </c>
      <c r="L132" s="67">
        <v>2.5862068965517238E-2</v>
      </c>
      <c r="M132">
        <v>3</v>
      </c>
      <c r="O132" s="12" t="s">
        <v>144</v>
      </c>
      <c r="P132" s="67">
        <v>0.28856526429341961</v>
      </c>
    </row>
    <row r="133" spans="11:16" x14ac:dyDescent="0.2">
      <c r="K133" s="18" t="s">
        <v>145</v>
      </c>
      <c r="L133" s="67">
        <v>1.3422818791946289E-2</v>
      </c>
      <c r="M133">
        <v>2</v>
      </c>
      <c r="O133" s="18" t="s">
        <v>145</v>
      </c>
      <c r="P133" s="67">
        <v>0.24927536231884059</v>
      </c>
    </row>
    <row r="134" spans="11:16" x14ac:dyDescent="0.2">
      <c r="K134" s="12" t="s">
        <v>146</v>
      </c>
      <c r="L134" s="67">
        <v>4.8648648648648596E-2</v>
      </c>
      <c r="M134">
        <v>9</v>
      </c>
      <c r="O134" s="12" t="s">
        <v>146</v>
      </c>
      <c r="P134" s="67">
        <v>0.33844765342960287</v>
      </c>
    </row>
    <row r="135" spans="11:16" x14ac:dyDescent="0.2">
      <c r="K135" s="18" t="s">
        <v>147</v>
      </c>
      <c r="L135" s="67">
        <v>5.2287581699346442E-2</v>
      </c>
      <c r="M135">
        <v>8</v>
      </c>
      <c r="O135" s="18" t="s">
        <v>147</v>
      </c>
      <c r="P135" s="67">
        <v>0.29927488464073831</v>
      </c>
    </row>
    <row r="136" spans="11:16" x14ac:dyDescent="0.2">
      <c r="K136" s="10" t="s">
        <v>11</v>
      </c>
      <c r="L136" s="67">
        <v>0</v>
      </c>
      <c r="M136">
        <v>0</v>
      </c>
      <c r="O136" s="10" t="s">
        <v>11</v>
      </c>
      <c r="P136" s="67">
        <v>0.10780003256798568</v>
      </c>
    </row>
    <row r="137" spans="11:16" x14ac:dyDescent="0.2">
      <c r="K137" s="10" t="s">
        <v>15</v>
      </c>
      <c r="L137" s="67">
        <v>4.8227634434531153E-3</v>
      </c>
      <c r="M137">
        <v>20</v>
      </c>
      <c r="O137" s="10" t="s">
        <v>15</v>
      </c>
      <c r="P137" s="67">
        <v>0.40987784515335268</v>
      </c>
    </row>
    <row r="146" spans="5:15" x14ac:dyDescent="0.2">
      <c r="K146" s="1" t="s">
        <v>168</v>
      </c>
      <c r="L146" s="75" t="s">
        <v>169</v>
      </c>
    </row>
    <row r="147" spans="5:15" x14ac:dyDescent="0.2">
      <c r="K147" s="12" t="s">
        <v>144</v>
      </c>
    </row>
    <row r="148" spans="5:15" x14ac:dyDescent="0.2">
      <c r="K148" s="18" t="s">
        <v>145</v>
      </c>
    </row>
    <row r="149" spans="5:15" x14ac:dyDescent="0.2">
      <c r="K149" s="12" t="s">
        <v>146</v>
      </c>
    </row>
    <row r="150" spans="5:15" x14ac:dyDescent="0.2">
      <c r="K150" s="18" t="s">
        <v>147</v>
      </c>
    </row>
    <row r="151" spans="5:15" x14ac:dyDescent="0.2">
      <c r="K151" s="10" t="s">
        <v>11</v>
      </c>
    </row>
    <row r="152" spans="5:15" x14ac:dyDescent="0.2">
      <c r="K152" s="10" t="s">
        <v>15</v>
      </c>
    </row>
    <row r="158" spans="5:15" x14ac:dyDescent="0.2">
      <c r="G158" t="s">
        <v>4</v>
      </c>
      <c r="H158" t="s">
        <v>178</v>
      </c>
      <c r="L158" s="8"/>
      <c r="M158" t="s">
        <v>5</v>
      </c>
    </row>
    <row r="159" spans="5:15" x14ac:dyDescent="0.2">
      <c r="E159" s="1" t="s">
        <v>20</v>
      </c>
      <c r="F159" s="2" t="s">
        <v>29</v>
      </c>
      <c r="G159" s="2" t="s">
        <v>3</v>
      </c>
      <c r="H159" s="2" t="s">
        <v>170</v>
      </c>
      <c r="I159" s="2" t="s">
        <v>171</v>
      </c>
      <c r="J159" s="2" t="s">
        <v>172</v>
      </c>
      <c r="K159" s="2" t="s">
        <v>173</v>
      </c>
      <c r="L159" s="3" t="s">
        <v>177</v>
      </c>
      <c r="M159" s="2" t="s">
        <v>174</v>
      </c>
      <c r="N159" s="2" t="s">
        <v>175</v>
      </c>
      <c r="O159" s="3" t="s">
        <v>176</v>
      </c>
    </row>
    <row r="160" spans="5:15" x14ac:dyDescent="0.2">
      <c r="E160" s="12" t="s">
        <v>144</v>
      </c>
      <c r="F160" s="30" t="s">
        <v>8</v>
      </c>
      <c r="G160" s="30"/>
      <c r="H160" s="78"/>
      <c r="I160" s="78">
        <v>2</v>
      </c>
      <c r="J160" s="78">
        <v>1</v>
      </c>
      <c r="K160" s="78">
        <v>2</v>
      </c>
      <c r="L160" s="79"/>
      <c r="M160" s="78"/>
      <c r="N160" s="78"/>
      <c r="O160" s="78"/>
    </row>
    <row r="161" spans="5:15" x14ac:dyDescent="0.2">
      <c r="E161" s="14"/>
      <c r="F161" s="33" t="s">
        <v>10</v>
      </c>
      <c r="G161" s="33"/>
      <c r="H161" s="78">
        <v>0</v>
      </c>
      <c r="I161" s="78">
        <v>1</v>
      </c>
      <c r="J161" s="78">
        <v>2</v>
      </c>
      <c r="K161" s="78">
        <v>2</v>
      </c>
      <c r="L161" s="80"/>
      <c r="M161" s="78"/>
      <c r="N161" s="78"/>
      <c r="O161" s="78"/>
    </row>
    <row r="162" spans="5:15" x14ac:dyDescent="0.2">
      <c r="E162" s="14"/>
      <c r="F162" s="33" t="s">
        <v>9</v>
      </c>
      <c r="G162" s="33"/>
      <c r="H162" s="78">
        <v>0</v>
      </c>
      <c r="I162" s="78">
        <v>1</v>
      </c>
      <c r="J162" s="78">
        <v>2</v>
      </c>
      <c r="K162" s="78">
        <v>2</v>
      </c>
      <c r="L162" s="80">
        <v>1</v>
      </c>
      <c r="M162" s="78"/>
      <c r="N162" s="78"/>
      <c r="O162" s="78"/>
    </row>
    <row r="163" spans="5:15" x14ac:dyDescent="0.2">
      <c r="E163" s="14"/>
      <c r="F163" s="27" t="s">
        <v>40</v>
      </c>
      <c r="G163" s="27"/>
      <c r="H163" s="78">
        <v>1</v>
      </c>
      <c r="I163" s="78">
        <v>1</v>
      </c>
      <c r="J163" s="78">
        <v>2</v>
      </c>
      <c r="K163" s="78">
        <v>0</v>
      </c>
      <c r="L163" s="8">
        <v>2</v>
      </c>
    </row>
    <row r="164" spans="5:15" x14ac:dyDescent="0.2">
      <c r="E164" s="14"/>
      <c r="F164" s="27" t="s">
        <v>39</v>
      </c>
      <c r="G164" s="27"/>
      <c r="H164" s="78">
        <v>0</v>
      </c>
      <c r="I164" s="78">
        <v>1</v>
      </c>
      <c r="J164" s="78">
        <v>2</v>
      </c>
      <c r="K164" s="78">
        <v>2</v>
      </c>
      <c r="L164" s="8">
        <v>0</v>
      </c>
    </row>
    <row r="165" spans="5:15" x14ac:dyDescent="0.2">
      <c r="E165" s="16"/>
      <c r="F165" s="40" t="s">
        <v>35</v>
      </c>
      <c r="G165" s="40"/>
      <c r="H165" s="41">
        <f>SUM(H160:H164)</f>
        <v>1</v>
      </c>
      <c r="I165" s="41">
        <f>SUM(I160:I164)</f>
        <v>6</v>
      </c>
      <c r="J165" s="41">
        <f>SUM(J160:J164)</f>
        <v>9</v>
      </c>
      <c r="K165" s="41">
        <f>SUM(K160:K164)</f>
        <v>8</v>
      </c>
      <c r="L165" s="42">
        <f>SUM(L160:L164)</f>
        <v>3</v>
      </c>
      <c r="M165" s="77"/>
      <c r="N165" s="77"/>
      <c r="O165" s="77"/>
    </row>
    <row r="166" spans="5:15" x14ac:dyDescent="0.2">
      <c r="E166" s="18" t="s">
        <v>145</v>
      </c>
      <c r="F166" s="30" t="s">
        <v>8</v>
      </c>
      <c r="G166" s="33"/>
      <c r="H166" s="78"/>
      <c r="I166" s="78">
        <v>2</v>
      </c>
      <c r="J166" s="78">
        <v>0</v>
      </c>
      <c r="K166" s="78">
        <v>2</v>
      </c>
      <c r="L166" s="80"/>
      <c r="M166" s="78"/>
      <c r="N166" s="78"/>
      <c r="O166" s="78"/>
    </row>
    <row r="167" spans="5:15" x14ac:dyDescent="0.2">
      <c r="E167" s="20"/>
      <c r="F167" s="33" t="s">
        <v>10</v>
      </c>
      <c r="G167" s="33"/>
      <c r="H167" s="78">
        <v>0</v>
      </c>
      <c r="I167" s="78">
        <v>2</v>
      </c>
      <c r="J167" s="78">
        <v>2</v>
      </c>
      <c r="K167" s="78">
        <v>2</v>
      </c>
      <c r="L167" s="80">
        <v>1</v>
      </c>
      <c r="M167" s="78"/>
      <c r="N167" s="78"/>
      <c r="O167" s="78"/>
    </row>
    <row r="168" spans="5:15" x14ac:dyDescent="0.2">
      <c r="E168" s="20"/>
      <c r="F168" s="33" t="s">
        <v>9</v>
      </c>
      <c r="G168" s="33"/>
      <c r="H168" s="78">
        <v>0</v>
      </c>
      <c r="I168" s="78">
        <v>2</v>
      </c>
      <c r="J168" s="78">
        <v>2</v>
      </c>
      <c r="K168" s="78">
        <v>2</v>
      </c>
      <c r="L168" s="80">
        <v>1</v>
      </c>
      <c r="M168" s="78"/>
      <c r="N168" s="78"/>
      <c r="O168" s="78"/>
    </row>
    <row r="169" spans="5:15" x14ac:dyDescent="0.2">
      <c r="E169" s="20"/>
      <c r="F169" s="27" t="s">
        <v>40</v>
      </c>
      <c r="G169" s="27"/>
      <c r="H169" s="78">
        <v>0</v>
      </c>
      <c r="I169" s="78">
        <v>1</v>
      </c>
      <c r="J169" s="78">
        <v>1</v>
      </c>
      <c r="K169" s="78">
        <v>2</v>
      </c>
      <c r="L169" s="8">
        <v>0</v>
      </c>
    </row>
    <row r="170" spans="5:15" x14ac:dyDescent="0.2">
      <c r="E170" s="20"/>
      <c r="F170" s="27" t="s">
        <v>39</v>
      </c>
      <c r="G170" s="27"/>
      <c r="H170" s="78">
        <v>2</v>
      </c>
      <c r="I170" s="78">
        <v>2</v>
      </c>
      <c r="J170" s="78">
        <v>2</v>
      </c>
      <c r="K170" s="78">
        <v>2</v>
      </c>
      <c r="L170" s="8">
        <v>0</v>
      </c>
    </row>
    <row r="171" spans="5:15" x14ac:dyDescent="0.2">
      <c r="E171" s="22"/>
      <c r="F171" s="40" t="s">
        <v>35</v>
      </c>
      <c r="G171" s="40"/>
      <c r="H171" s="41">
        <f>SUM(H166:H170)</f>
        <v>2</v>
      </c>
      <c r="I171" s="41">
        <f>SUM(I166:I170)</f>
        <v>9</v>
      </c>
      <c r="J171" s="41">
        <f>SUM(J166:J170)</f>
        <v>7</v>
      </c>
      <c r="K171" s="41">
        <f>SUM(K166:K170)</f>
        <v>10</v>
      </c>
      <c r="L171" s="42">
        <f>SUM(L166:L170)</f>
        <v>2</v>
      </c>
      <c r="M171" s="77"/>
      <c r="N171" s="77"/>
      <c r="O171" s="77"/>
    </row>
    <row r="172" spans="5:15" x14ac:dyDescent="0.2">
      <c r="E172" s="12" t="s">
        <v>146</v>
      </c>
      <c r="F172" s="30" t="s">
        <v>8</v>
      </c>
      <c r="G172" s="33"/>
      <c r="H172" s="78"/>
      <c r="I172" s="78">
        <v>2</v>
      </c>
      <c r="J172" s="78">
        <v>1</v>
      </c>
      <c r="K172" s="78">
        <v>2</v>
      </c>
      <c r="L172" s="80"/>
      <c r="M172" s="78"/>
      <c r="N172" s="78"/>
      <c r="O172" s="78"/>
    </row>
    <row r="173" spans="5:15" x14ac:dyDescent="0.2">
      <c r="E173" s="14"/>
      <c r="F173" s="33" t="s">
        <v>10</v>
      </c>
      <c r="G173" s="33"/>
      <c r="H173" s="78">
        <v>0</v>
      </c>
      <c r="I173" s="78">
        <v>2</v>
      </c>
      <c r="J173" s="78">
        <v>1</v>
      </c>
      <c r="K173" s="78">
        <v>2</v>
      </c>
      <c r="L173" s="80">
        <v>0</v>
      </c>
      <c r="M173" s="78"/>
      <c r="N173" s="78"/>
      <c r="O173" s="78"/>
    </row>
    <row r="174" spans="5:15" x14ac:dyDescent="0.2">
      <c r="E174" s="14"/>
      <c r="F174" s="33" t="s">
        <v>9</v>
      </c>
      <c r="G174" s="33"/>
      <c r="H174" s="78">
        <v>1</v>
      </c>
      <c r="I174" s="78">
        <v>0</v>
      </c>
      <c r="J174" s="78">
        <v>1</v>
      </c>
      <c r="K174" s="78">
        <v>2</v>
      </c>
      <c r="L174" s="80">
        <v>0</v>
      </c>
      <c r="M174" s="78"/>
      <c r="N174" s="78"/>
      <c r="O174" s="78"/>
    </row>
    <row r="175" spans="5:15" x14ac:dyDescent="0.2">
      <c r="E175" s="14"/>
      <c r="F175" s="27" t="s">
        <v>40</v>
      </c>
      <c r="G175" s="27"/>
      <c r="H175" s="78">
        <v>1</v>
      </c>
      <c r="I175" s="78">
        <v>0</v>
      </c>
      <c r="J175" s="78">
        <v>1</v>
      </c>
      <c r="K175" s="78">
        <v>0</v>
      </c>
      <c r="L175" s="8">
        <v>0</v>
      </c>
    </row>
    <row r="176" spans="5:15" x14ac:dyDescent="0.2">
      <c r="E176" s="14"/>
      <c r="F176" s="27" t="s">
        <v>39</v>
      </c>
      <c r="G176" s="27"/>
      <c r="H176" s="78">
        <v>2</v>
      </c>
      <c r="I176" s="78">
        <v>1</v>
      </c>
      <c r="J176" s="78">
        <v>2</v>
      </c>
      <c r="K176" s="78">
        <v>2</v>
      </c>
      <c r="L176" s="8"/>
    </row>
    <row r="177" spans="5:15" x14ac:dyDescent="0.2">
      <c r="E177" s="16"/>
      <c r="F177" s="40" t="s">
        <v>35</v>
      </c>
      <c r="G177" s="40"/>
      <c r="H177" s="41">
        <f>SUM(H172:H176)</f>
        <v>4</v>
      </c>
      <c r="I177" s="41">
        <f>SUM(I172:I176)</f>
        <v>5</v>
      </c>
      <c r="J177" s="41">
        <f>SUM(J172:J176)</f>
        <v>6</v>
      </c>
      <c r="K177" s="41">
        <f>SUM(K172:K176)</f>
        <v>8</v>
      </c>
      <c r="L177" s="42">
        <f>SUM(L172:L176)</f>
        <v>0</v>
      </c>
      <c r="M177" s="77"/>
      <c r="N177" s="77"/>
      <c r="O177" s="77"/>
    </row>
    <row r="178" spans="5:15" x14ac:dyDescent="0.2">
      <c r="E178" s="18" t="s">
        <v>147</v>
      </c>
      <c r="F178" s="30" t="s">
        <v>8</v>
      </c>
      <c r="G178" s="33"/>
      <c r="H178" s="78"/>
      <c r="I178" s="78">
        <v>2</v>
      </c>
      <c r="J178" s="78">
        <v>0</v>
      </c>
      <c r="K178" s="78">
        <v>2</v>
      </c>
      <c r="L178" s="80"/>
      <c r="M178" s="78"/>
      <c r="N178" s="78"/>
      <c r="O178" s="78"/>
    </row>
    <row r="179" spans="5:15" x14ac:dyDescent="0.2">
      <c r="E179" s="20"/>
      <c r="F179" s="33" t="s">
        <v>10</v>
      </c>
      <c r="G179" s="33"/>
      <c r="H179" s="78">
        <v>1</v>
      </c>
      <c r="I179" s="78">
        <v>2</v>
      </c>
      <c r="J179" s="78">
        <v>1</v>
      </c>
      <c r="K179" s="78">
        <v>2</v>
      </c>
      <c r="L179" s="80">
        <v>0</v>
      </c>
      <c r="M179" s="78"/>
      <c r="N179" s="78"/>
      <c r="O179" s="78"/>
    </row>
    <row r="180" spans="5:15" x14ac:dyDescent="0.2">
      <c r="E180" s="20"/>
      <c r="F180" s="33" t="s">
        <v>9</v>
      </c>
      <c r="G180" s="33"/>
      <c r="H180" s="78">
        <v>1</v>
      </c>
      <c r="I180" s="78">
        <v>2</v>
      </c>
      <c r="J180" s="78">
        <v>1</v>
      </c>
      <c r="K180" s="78">
        <v>2</v>
      </c>
      <c r="L180" s="80">
        <v>1</v>
      </c>
      <c r="M180" s="78"/>
      <c r="N180" s="78"/>
      <c r="O180" s="78"/>
    </row>
    <row r="181" spans="5:15" x14ac:dyDescent="0.2">
      <c r="E181" s="20"/>
      <c r="F181" s="27" t="s">
        <v>40</v>
      </c>
      <c r="G181" s="27"/>
      <c r="H181">
        <v>2</v>
      </c>
      <c r="I181" s="78">
        <v>2</v>
      </c>
      <c r="J181" s="78">
        <v>1</v>
      </c>
      <c r="K181" s="78">
        <v>2</v>
      </c>
      <c r="L181" s="8">
        <v>0</v>
      </c>
    </row>
    <row r="182" spans="5:15" x14ac:dyDescent="0.2">
      <c r="E182" s="20"/>
      <c r="F182" s="27" t="s">
        <v>39</v>
      </c>
      <c r="G182" s="27"/>
      <c r="H182" s="78">
        <v>0</v>
      </c>
      <c r="I182" s="78">
        <v>2</v>
      </c>
      <c r="J182" s="78">
        <v>2</v>
      </c>
      <c r="K182" s="78">
        <v>2</v>
      </c>
      <c r="L182" s="8">
        <v>1</v>
      </c>
    </row>
    <row r="183" spans="5:15" x14ac:dyDescent="0.2">
      <c r="E183" s="22"/>
      <c r="F183" s="40" t="s">
        <v>35</v>
      </c>
      <c r="G183" s="40"/>
      <c r="H183" s="41">
        <f>SUM(H178:H182)</f>
        <v>4</v>
      </c>
      <c r="I183" s="41">
        <f>SUM(I178:I182)</f>
        <v>10</v>
      </c>
      <c r="J183" s="41">
        <f>SUM(J178:J182)</f>
        <v>5</v>
      </c>
      <c r="K183" s="41">
        <f>SUM(K178:K182)</f>
        <v>10</v>
      </c>
      <c r="L183" s="42">
        <f>SUM(L178:L182)</f>
        <v>2</v>
      </c>
      <c r="M183" s="77"/>
      <c r="N183" s="77"/>
      <c r="O183" s="77"/>
    </row>
    <row r="184" spans="5:15" x14ac:dyDescent="0.2">
      <c r="E184" s="10" t="s">
        <v>11</v>
      </c>
      <c r="F184" s="30" t="s">
        <v>8</v>
      </c>
      <c r="G184" s="33"/>
      <c r="H184" s="78">
        <v>0</v>
      </c>
      <c r="I184" s="78">
        <v>2</v>
      </c>
      <c r="J184" s="78">
        <v>2</v>
      </c>
      <c r="K184" s="78">
        <v>2</v>
      </c>
      <c r="L184" s="80">
        <v>0</v>
      </c>
      <c r="M184" s="78"/>
      <c r="N184" s="78"/>
      <c r="O184" s="78"/>
    </row>
    <row r="185" spans="5:15" x14ac:dyDescent="0.2">
      <c r="E185" s="5"/>
      <c r="F185" s="33" t="s">
        <v>10</v>
      </c>
      <c r="G185" s="33"/>
      <c r="H185" s="78">
        <v>0</v>
      </c>
      <c r="I185" s="78">
        <v>0</v>
      </c>
      <c r="J185" s="78">
        <v>1</v>
      </c>
      <c r="K185" s="78">
        <v>1</v>
      </c>
      <c r="L185" s="80">
        <v>0</v>
      </c>
      <c r="M185" s="78"/>
      <c r="N185" s="78"/>
      <c r="O185" s="78"/>
    </row>
    <row r="186" spans="5:15" x14ac:dyDescent="0.2">
      <c r="E186" s="5"/>
      <c r="F186" s="33" t="s">
        <v>9</v>
      </c>
      <c r="G186" s="33"/>
      <c r="H186" s="78">
        <v>0</v>
      </c>
      <c r="I186" s="78">
        <v>1</v>
      </c>
      <c r="J186" s="78">
        <v>2</v>
      </c>
      <c r="K186" s="78">
        <v>2</v>
      </c>
      <c r="L186" s="80">
        <v>0</v>
      </c>
      <c r="M186" s="78"/>
      <c r="N186" s="78"/>
      <c r="O186" s="78"/>
    </row>
    <row r="187" spans="5:15" x14ac:dyDescent="0.2">
      <c r="E187" s="5"/>
      <c r="F187" s="27" t="s">
        <v>40</v>
      </c>
      <c r="G187" s="27"/>
      <c r="H187" s="78">
        <v>0</v>
      </c>
      <c r="I187" s="78">
        <v>2</v>
      </c>
      <c r="J187" s="78">
        <v>1</v>
      </c>
      <c r="K187" s="78">
        <v>1</v>
      </c>
      <c r="L187" s="8">
        <v>0</v>
      </c>
    </row>
    <row r="188" spans="5:15" x14ac:dyDescent="0.2">
      <c r="E188" s="5"/>
      <c r="F188" s="27" t="s">
        <v>39</v>
      </c>
      <c r="G188" s="27"/>
      <c r="H188" s="78">
        <v>0</v>
      </c>
      <c r="I188" s="78">
        <v>2</v>
      </c>
      <c r="J188" s="78">
        <v>1</v>
      </c>
      <c r="K188" s="78">
        <v>1</v>
      </c>
      <c r="L188" s="8">
        <v>1</v>
      </c>
    </row>
    <row r="189" spans="5:15" x14ac:dyDescent="0.2">
      <c r="E189" s="9"/>
      <c r="F189" s="40" t="s">
        <v>35</v>
      </c>
      <c r="G189" s="40"/>
      <c r="H189" s="41">
        <f>SUM(H184:H188)</f>
        <v>0</v>
      </c>
      <c r="I189" s="41">
        <f>SUM(I184:I188)</f>
        <v>7</v>
      </c>
      <c r="J189" s="41">
        <f>SUM(J184:J188)</f>
        <v>7</v>
      </c>
      <c r="K189" s="41">
        <f>SUM(K184:K188)</f>
        <v>7</v>
      </c>
      <c r="L189" s="42">
        <f>SUM(L184:L188)</f>
        <v>1</v>
      </c>
      <c r="M189" s="77"/>
      <c r="N189" s="77"/>
      <c r="O189" s="77"/>
    </row>
    <row r="190" spans="5:15" x14ac:dyDescent="0.2">
      <c r="E190" s="10" t="s">
        <v>15</v>
      </c>
      <c r="F190" s="30" t="s">
        <v>8</v>
      </c>
      <c r="G190" s="33"/>
      <c r="H190" s="78">
        <v>0</v>
      </c>
      <c r="I190" s="78"/>
      <c r="J190" s="78"/>
      <c r="K190" s="78"/>
      <c r="L190" s="80">
        <v>0</v>
      </c>
      <c r="M190" s="78"/>
      <c r="N190" s="78"/>
      <c r="O190" s="78"/>
    </row>
    <row r="191" spans="5:15" x14ac:dyDescent="0.2">
      <c r="E191" s="5"/>
      <c r="F191" s="33" t="s">
        <v>10</v>
      </c>
      <c r="G191" s="33"/>
      <c r="H191" s="78">
        <v>0</v>
      </c>
      <c r="I191" s="78"/>
      <c r="J191" s="78"/>
      <c r="K191" s="78"/>
      <c r="L191" s="80">
        <v>0</v>
      </c>
      <c r="M191" s="78"/>
      <c r="N191" s="78"/>
      <c r="O191" s="78"/>
    </row>
    <row r="192" spans="5:15" x14ac:dyDescent="0.2">
      <c r="E192" s="5"/>
      <c r="F192" s="33" t="s">
        <v>9</v>
      </c>
      <c r="G192" s="33"/>
      <c r="H192" s="78">
        <v>0</v>
      </c>
      <c r="I192" s="78"/>
      <c r="J192" s="78"/>
      <c r="K192" s="78"/>
      <c r="L192" s="80">
        <v>0</v>
      </c>
      <c r="M192" s="78"/>
      <c r="N192" s="78"/>
      <c r="O192" s="78"/>
    </row>
    <row r="193" spans="5:15" x14ac:dyDescent="0.2">
      <c r="E193" s="5"/>
      <c r="F193" s="27" t="s">
        <v>40</v>
      </c>
      <c r="G193" s="27"/>
      <c r="H193" s="78">
        <v>0</v>
      </c>
      <c r="L193" s="8">
        <v>0</v>
      </c>
    </row>
    <row r="194" spans="5:15" x14ac:dyDescent="0.2">
      <c r="E194" s="5"/>
      <c r="F194" s="27" t="s">
        <v>39</v>
      </c>
      <c r="G194" s="27"/>
      <c r="H194" s="78">
        <v>0</v>
      </c>
      <c r="L194" s="8">
        <v>0</v>
      </c>
    </row>
    <row r="195" spans="5:15" x14ac:dyDescent="0.2">
      <c r="E195" s="9"/>
      <c r="F195" s="40" t="s">
        <v>35</v>
      </c>
      <c r="G195" s="40"/>
      <c r="H195" s="41">
        <f>SUM(H190:H194)</f>
        <v>0</v>
      </c>
      <c r="I195" s="41">
        <v>0</v>
      </c>
      <c r="J195" s="41">
        <v>1</v>
      </c>
      <c r="K195" s="41">
        <v>-1</v>
      </c>
      <c r="L195" s="42">
        <v>0</v>
      </c>
      <c r="M195" s="77"/>
      <c r="N195" s="77"/>
      <c r="O195" s="77"/>
    </row>
    <row r="198" spans="5:15" x14ac:dyDescent="0.2">
      <c r="F198" t="s">
        <v>179</v>
      </c>
    </row>
    <row r="199" spans="5:15" x14ac:dyDescent="0.2">
      <c r="F199" s="1" t="s">
        <v>168</v>
      </c>
      <c r="G199" s="2" t="s">
        <v>170</v>
      </c>
      <c r="H199" s="2" t="s">
        <v>171</v>
      </c>
      <c r="I199" s="2" t="s">
        <v>172</v>
      </c>
      <c r="J199" s="2" t="s">
        <v>173</v>
      </c>
      <c r="K199" s="43" t="s">
        <v>180</v>
      </c>
    </row>
    <row r="200" spans="5:15" x14ac:dyDescent="0.2">
      <c r="F200" s="12" t="s">
        <v>144</v>
      </c>
      <c r="G200">
        <v>1</v>
      </c>
      <c r="H200">
        <v>6</v>
      </c>
      <c r="I200">
        <v>9</v>
      </c>
      <c r="J200">
        <v>8</v>
      </c>
      <c r="K200" s="81">
        <f t="shared" ref="K200:K205" si="12">SUM(G200:J200)/40</f>
        <v>0.6</v>
      </c>
    </row>
    <row r="201" spans="5:15" x14ac:dyDescent="0.2">
      <c r="F201" s="18" t="s">
        <v>145</v>
      </c>
      <c r="G201">
        <v>2</v>
      </c>
      <c r="H201">
        <v>9</v>
      </c>
      <c r="I201">
        <v>7</v>
      </c>
      <c r="J201">
        <v>10</v>
      </c>
      <c r="K201" s="81">
        <f t="shared" si="12"/>
        <v>0.7</v>
      </c>
    </row>
    <row r="202" spans="5:15" x14ac:dyDescent="0.2">
      <c r="F202" s="12" t="s">
        <v>146</v>
      </c>
      <c r="G202">
        <v>4</v>
      </c>
      <c r="H202">
        <v>5</v>
      </c>
      <c r="I202">
        <v>6</v>
      </c>
      <c r="J202">
        <v>8</v>
      </c>
      <c r="K202" s="81">
        <f t="shared" si="12"/>
        <v>0.57499999999999996</v>
      </c>
    </row>
    <row r="203" spans="5:15" x14ac:dyDescent="0.2">
      <c r="F203" s="18" t="s">
        <v>147</v>
      </c>
      <c r="G203">
        <v>4</v>
      </c>
      <c r="H203">
        <v>10</v>
      </c>
      <c r="I203">
        <v>5</v>
      </c>
      <c r="J203">
        <v>10</v>
      </c>
      <c r="K203" s="81">
        <f t="shared" si="12"/>
        <v>0.72499999999999998</v>
      </c>
    </row>
    <row r="204" spans="5:15" x14ac:dyDescent="0.2">
      <c r="F204" s="10" t="s">
        <v>11</v>
      </c>
      <c r="G204">
        <v>0</v>
      </c>
      <c r="H204">
        <v>7</v>
      </c>
      <c r="I204">
        <v>7</v>
      </c>
      <c r="J204">
        <v>7</v>
      </c>
      <c r="K204" s="81">
        <f t="shared" si="12"/>
        <v>0.52500000000000002</v>
      </c>
    </row>
    <row r="205" spans="5:15" x14ac:dyDescent="0.2">
      <c r="F205" s="10" t="s">
        <v>15</v>
      </c>
      <c r="G205">
        <v>0</v>
      </c>
      <c r="H205">
        <v>0</v>
      </c>
      <c r="I205">
        <v>1</v>
      </c>
      <c r="J205">
        <v>0</v>
      </c>
      <c r="K205" s="81">
        <f t="shared" si="12"/>
        <v>2.5000000000000001E-2</v>
      </c>
    </row>
    <row r="213" spans="6:12" x14ac:dyDescent="0.2">
      <c r="F213" t="s">
        <v>790</v>
      </c>
    </row>
    <row r="215" spans="6:12" x14ac:dyDescent="0.2">
      <c r="F215" t="s">
        <v>788</v>
      </c>
    </row>
    <row r="216" spans="6:12" x14ac:dyDescent="0.2">
      <c r="F216" s="96" t="s">
        <v>787</v>
      </c>
      <c r="G216" s="13" t="s">
        <v>144</v>
      </c>
      <c r="H216" s="18" t="s">
        <v>145</v>
      </c>
      <c r="I216" s="12" t="s">
        <v>146</v>
      </c>
      <c r="J216" s="18" t="s">
        <v>147</v>
      </c>
      <c r="K216" s="10" t="s">
        <v>11</v>
      </c>
      <c r="L216" s="10" t="s">
        <v>15</v>
      </c>
    </row>
    <row r="217" spans="6:12" x14ac:dyDescent="0.2">
      <c r="F217" s="97" t="s">
        <v>8</v>
      </c>
      <c r="G217" s="67">
        <v>0.91666666666666663</v>
      </c>
      <c r="H217" s="67">
        <v>0.96875</v>
      </c>
      <c r="I217" s="67">
        <v>1</v>
      </c>
      <c r="J217" s="67">
        <v>1</v>
      </c>
      <c r="K217" s="67">
        <v>0.89583333333333337</v>
      </c>
    </row>
    <row r="218" spans="6:12" x14ac:dyDescent="0.2">
      <c r="F218" s="97" t="s">
        <v>10</v>
      </c>
      <c r="G218" s="99">
        <v>0.95454545454545459</v>
      </c>
      <c r="H218" s="99">
        <v>0.95454545454545459</v>
      </c>
      <c r="I218" s="99">
        <v>1</v>
      </c>
      <c r="J218" s="99">
        <v>1</v>
      </c>
      <c r="K218" s="99">
        <v>0.44318181818181818</v>
      </c>
      <c r="L218" s="77"/>
    </row>
    <row r="219" spans="6:12" x14ac:dyDescent="0.2">
      <c r="F219" s="98" t="s">
        <v>39</v>
      </c>
      <c r="G219" s="67">
        <v>0.48255813953488375</v>
      </c>
      <c r="H219" s="67">
        <v>0.41860465116279072</v>
      </c>
      <c r="I219" s="67">
        <v>0.95348837209302328</v>
      </c>
      <c r="J219" s="67">
        <v>0.7441860465116279</v>
      </c>
      <c r="K219" s="67">
        <v>0.47674418604651164</v>
      </c>
    </row>
    <row r="223" spans="6:12" x14ac:dyDescent="0.2">
      <c r="F223" t="s">
        <v>789</v>
      </c>
    </row>
    <row r="224" spans="6:12" x14ac:dyDescent="0.2">
      <c r="F224" s="96" t="s">
        <v>787</v>
      </c>
      <c r="G224" s="13" t="s">
        <v>144</v>
      </c>
      <c r="H224" s="18" t="s">
        <v>145</v>
      </c>
      <c r="I224" s="12" t="s">
        <v>146</v>
      </c>
      <c r="J224" s="18" t="s">
        <v>147</v>
      </c>
      <c r="K224" s="10" t="s">
        <v>11</v>
      </c>
      <c r="L224" s="10" t="s">
        <v>15</v>
      </c>
    </row>
    <row r="225" spans="6:12" x14ac:dyDescent="0.2">
      <c r="F225" s="97" t="s">
        <v>8</v>
      </c>
      <c r="G225" s="67">
        <v>0.97368421052631582</v>
      </c>
      <c r="H225" s="67">
        <v>0.98108552631578949</v>
      </c>
      <c r="I225" s="67">
        <v>1</v>
      </c>
      <c r="J225" s="67">
        <v>1</v>
      </c>
      <c r="K225" s="67">
        <v>0.93264411027568928</v>
      </c>
    </row>
    <row r="226" spans="6:12" x14ac:dyDescent="0.2">
      <c r="F226" s="97" t="s">
        <v>10</v>
      </c>
      <c r="G226" s="99">
        <v>0.96666666666666679</v>
      </c>
      <c r="H226" s="99">
        <v>0.96666666666666679</v>
      </c>
      <c r="I226" s="99">
        <v>1</v>
      </c>
      <c r="J226" s="99">
        <v>1</v>
      </c>
      <c r="K226" s="99">
        <v>0.4179166666666666</v>
      </c>
      <c r="L226" s="77"/>
    </row>
    <row r="227" spans="6:12" x14ac:dyDescent="0.2">
      <c r="F227" s="98" t="s">
        <v>39</v>
      </c>
      <c r="G227" s="67">
        <v>0.51828403078403096</v>
      </c>
      <c r="H227" s="67">
        <v>0.40654160654160648</v>
      </c>
      <c r="I227" s="67">
        <v>0.97566137566137578</v>
      </c>
      <c r="J227" s="67">
        <v>0.8114357864357864</v>
      </c>
      <c r="K227" s="67">
        <v>0.50118446368446379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1F56-16F5-6A43-8F52-F4111E038AD1}">
  <dimension ref="B2:R71"/>
  <sheetViews>
    <sheetView topLeftCell="C36" zoomScale="116" workbookViewId="0">
      <selection activeCell="G71" sqref="G71:O71"/>
    </sheetView>
  </sheetViews>
  <sheetFormatPr baseColWidth="10" defaultRowHeight="16" x14ac:dyDescent="0.2"/>
  <cols>
    <col min="3" max="3" width="30.33203125" bestFit="1" customWidth="1"/>
    <col min="4" max="4" width="22.33203125" bestFit="1" customWidth="1"/>
    <col min="5" max="5" width="27.33203125" bestFit="1" customWidth="1"/>
    <col min="6" max="6" width="22" bestFit="1" customWidth="1"/>
    <col min="7" max="7" width="13.1640625" customWidth="1"/>
    <col min="8" max="8" width="12.6640625" bestFit="1" customWidth="1"/>
    <col min="9" max="9" width="27.33203125" bestFit="1" customWidth="1"/>
    <col min="10" max="10" width="22.33203125" bestFit="1" customWidth="1"/>
    <col min="11" max="11" width="27.33203125" bestFit="1" customWidth="1"/>
  </cols>
  <sheetData>
    <row r="2" spans="2:18" x14ac:dyDescent="0.2">
      <c r="C2" t="s">
        <v>269</v>
      </c>
      <c r="G2" s="5"/>
    </row>
    <row r="3" spans="2:18" x14ac:dyDescent="0.2">
      <c r="B3" s="4" t="s">
        <v>774</v>
      </c>
      <c r="C3" s="4" t="s">
        <v>182</v>
      </c>
      <c r="D3" s="3" t="s">
        <v>184</v>
      </c>
      <c r="E3" s="3" t="s">
        <v>185</v>
      </c>
      <c r="F3" s="2" t="s">
        <v>186</v>
      </c>
      <c r="G3" s="85" t="s">
        <v>270</v>
      </c>
      <c r="H3" s="76" t="s">
        <v>777</v>
      </c>
      <c r="I3" s="86" t="s">
        <v>271</v>
      </c>
      <c r="J3" s="76" t="s">
        <v>777</v>
      </c>
      <c r="K3" s="86" t="s">
        <v>272</v>
      </c>
      <c r="L3" s="43" t="s">
        <v>777</v>
      </c>
      <c r="M3" s="85" t="s">
        <v>273</v>
      </c>
      <c r="N3" s="76" t="s">
        <v>777</v>
      </c>
      <c r="O3" s="86" t="s">
        <v>11</v>
      </c>
      <c r="P3" s="76" t="s">
        <v>777</v>
      </c>
      <c r="Q3" s="86" t="s">
        <v>15</v>
      </c>
      <c r="R3" s="43" t="s">
        <v>777</v>
      </c>
    </row>
    <row r="4" spans="2:18" x14ac:dyDescent="0.2">
      <c r="B4" s="88" t="s">
        <v>187</v>
      </c>
      <c r="C4" s="88"/>
      <c r="D4" s="88"/>
      <c r="E4" s="88"/>
      <c r="F4" s="88"/>
      <c r="G4" s="88">
        <f>SUM(G5:G7)/6</f>
        <v>1</v>
      </c>
      <c r="H4" s="89"/>
      <c r="I4" s="88">
        <f>SUM(I5:I7)/6</f>
        <v>1</v>
      </c>
      <c r="J4" s="89"/>
      <c r="K4" s="88">
        <f>SUM(K5:K7)/6</f>
        <v>1</v>
      </c>
      <c r="L4" s="89"/>
      <c r="M4" s="88">
        <f>SUM(M5:M7)/6</f>
        <v>1</v>
      </c>
      <c r="N4" s="89"/>
      <c r="O4" s="88">
        <f>SUM(O5:O7)/6</f>
        <v>1</v>
      </c>
      <c r="P4" s="89"/>
      <c r="Q4" s="88"/>
      <c r="R4" s="88"/>
    </row>
    <row r="5" spans="2:18" x14ac:dyDescent="0.2">
      <c r="C5" t="s">
        <v>188</v>
      </c>
      <c r="D5" t="s">
        <v>189</v>
      </c>
      <c r="E5" t="s">
        <v>188</v>
      </c>
      <c r="F5">
        <v>0</v>
      </c>
      <c r="G5" s="5">
        <v>2</v>
      </c>
      <c r="H5" s="8">
        <v>12</v>
      </c>
      <c r="I5">
        <v>2</v>
      </c>
      <c r="J5" s="8">
        <v>33</v>
      </c>
      <c r="K5">
        <v>2</v>
      </c>
      <c r="L5" s="8">
        <v>19</v>
      </c>
      <c r="M5">
        <v>2</v>
      </c>
      <c r="N5" s="8">
        <v>20</v>
      </c>
      <c r="O5">
        <v>2</v>
      </c>
      <c r="P5" s="8">
        <v>204</v>
      </c>
    </row>
    <row r="6" spans="2:18" x14ac:dyDescent="0.2">
      <c r="C6" t="s">
        <v>188</v>
      </c>
      <c r="D6" t="s">
        <v>183</v>
      </c>
      <c r="E6" t="s">
        <v>188</v>
      </c>
      <c r="F6">
        <v>-1</v>
      </c>
      <c r="G6" s="5">
        <v>2</v>
      </c>
      <c r="H6" s="8">
        <v>23</v>
      </c>
      <c r="I6">
        <v>2</v>
      </c>
      <c r="J6" s="8">
        <v>33</v>
      </c>
      <c r="K6">
        <v>2</v>
      </c>
      <c r="L6" s="8">
        <v>28</v>
      </c>
      <c r="M6">
        <v>2</v>
      </c>
      <c r="N6" s="8">
        <v>25</v>
      </c>
      <c r="O6">
        <v>2</v>
      </c>
      <c r="P6" s="8">
        <v>565</v>
      </c>
    </row>
    <row r="7" spans="2:18" x14ac:dyDescent="0.2">
      <c r="C7" t="s">
        <v>188</v>
      </c>
      <c r="D7" t="s">
        <v>192</v>
      </c>
      <c r="E7" t="s">
        <v>188</v>
      </c>
      <c r="F7">
        <v>1</v>
      </c>
      <c r="G7" s="5">
        <v>2</v>
      </c>
      <c r="H7" s="8">
        <v>23</v>
      </c>
      <c r="I7">
        <v>2</v>
      </c>
      <c r="J7" s="8">
        <v>33</v>
      </c>
      <c r="K7">
        <v>2</v>
      </c>
      <c r="L7" s="8">
        <v>38</v>
      </c>
      <c r="M7">
        <v>2</v>
      </c>
      <c r="N7" s="8">
        <v>30</v>
      </c>
      <c r="O7">
        <v>2</v>
      </c>
      <c r="P7" s="8">
        <v>210</v>
      </c>
    </row>
    <row r="8" spans="2:18" x14ac:dyDescent="0.2">
      <c r="B8" s="88" t="s">
        <v>194</v>
      </c>
      <c r="C8" s="88"/>
      <c r="D8" s="88"/>
      <c r="E8" s="88"/>
      <c r="F8" s="88"/>
      <c r="G8" s="88">
        <f>SUM(G9:G34)/38</f>
        <v>0.78947368421052633</v>
      </c>
      <c r="H8" s="89"/>
      <c r="I8" s="88">
        <f>SUM(I9:I34)/38</f>
        <v>0.97368421052631582</v>
      </c>
      <c r="J8" s="89"/>
      <c r="K8" s="88">
        <f>SUM(K9:K34)/38</f>
        <v>1</v>
      </c>
      <c r="L8" s="89"/>
      <c r="M8" s="88">
        <f>SUM(M9:M34)/38</f>
        <v>1</v>
      </c>
      <c r="N8" s="89"/>
      <c r="O8" s="88">
        <f>SUM(O9:O34)/38</f>
        <v>0.84210526315789469</v>
      </c>
      <c r="P8" s="89"/>
      <c r="Q8" s="88"/>
      <c r="R8" s="88"/>
    </row>
    <row r="9" spans="2:18" x14ac:dyDescent="0.2">
      <c r="C9" t="s">
        <v>195</v>
      </c>
      <c r="D9" t="s">
        <v>196</v>
      </c>
      <c r="E9" t="s">
        <v>195</v>
      </c>
      <c r="F9" t="b">
        <v>1</v>
      </c>
      <c r="G9" s="5">
        <v>2</v>
      </c>
      <c r="H9" s="8">
        <v>35</v>
      </c>
      <c r="I9">
        <v>2</v>
      </c>
      <c r="J9" s="8">
        <v>42</v>
      </c>
      <c r="K9">
        <v>2</v>
      </c>
      <c r="L9" s="8">
        <v>52</v>
      </c>
      <c r="M9">
        <v>2</v>
      </c>
      <c r="N9" s="8">
        <v>39</v>
      </c>
      <c r="O9">
        <v>2</v>
      </c>
      <c r="P9" s="8">
        <v>523</v>
      </c>
    </row>
    <row r="10" spans="2:18" x14ac:dyDescent="0.2">
      <c r="C10" t="s">
        <v>195</v>
      </c>
      <c r="D10" s="82" t="s">
        <v>771</v>
      </c>
      <c r="E10" t="s">
        <v>195</v>
      </c>
      <c r="F10" t="b">
        <v>0</v>
      </c>
      <c r="G10" s="5">
        <v>2</v>
      </c>
      <c r="H10" s="8">
        <v>35</v>
      </c>
      <c r="I10">
        <v>2</v>
      </c>
      <c r="J10" s="8">
        <v>42</v>
      </c>
      <c r="K10">
        <v>2</v>
      </c>
      <c r="L10" s="8">
        <v>52</v>
      </c>
      <c r="M10">
        <v>2</v>
      </c>
      <c r="N10" s="8">
        <v>39</v>
      </c>
      <c r="O10">
        <v>2</v>
      </c>
      <c r="P10" s="8">
        <v>529</v>
      </c>
    </row>
    <row r="11" spans="2:18" x14ac:dyDescent="0.2">
      <c r="G11" s="5"/>
      <c r="H11" s="8"/>
      <c r="J11" s="8"/>
      <c r="L11" s="8"/>
      <c r="N11" s="8"/>
      <c r="P11" s="8"/>
    </row>
    <row r="12" spans="2:18" x14ac:dyDescent="0.2">
      <c r="C12" t="s">
        <v>203</v>
      </c>
      <c r="D12" t="s">
        <v>196</v>
      </c>
      <c r="E12" t="s">
        <v>203</v>
      </c>
      <c r="F12" t="b">
        <v>1</v>
      </c>
      <c r="G12" s="5">
        <v>2</v>
      </c>
      <c r="H12" s="8">
        <v>62</v>
      </c>
      <c r="I12">
        <v>2</v>
      </c>
      <c r="J12" s="8">
        <v>50</v>
      </c>
      <c r="K12">
        <v>2</v>
      </c>
      <c r="L12" s="8">
        <v>65</v>
      </c>
      <c r="M12">
        <v>2</v>
      </c>
      <c r="N12" s="8">
        <v>51</v>
      </c>
      <c r="O12">
        <v>2</v>
      </c>
      <c r="P12" s="8">
        <v>99</v>
      </c>
    </row>
    <row r="13" spans="2:18" x14ac:dyDescent="0.2">
      <c r="C13" t="s">
        <v>203</v>
      </c>
      <c r="D13" t="s">
        <v>199</v>
      </c>
      <c r="E13" t="s">
        <v>203</v>
      </c>
      <c r="F13" t="b">
        <v>0</v>
      </c>
      <c r="G13" s="5">
        <v>2</v>
      </c>
      <c r="H13" s="8">
        <v>62</v>
      </c>
      <c r="I13">
        <v>2</v>
      </c>
      <c r="J13" s="8">
        <v>50</v>
      </c>
      <c r="K13">
        <v>2</v>
      </c>
      <c r="L13" s="8">
        <v>65</v>
      </c>
      <c r="M13">
        <v>2</v>
      </c>
      <c r="N13" s="8">
        <v>51</v>
      </c>
      <c r="O13">
        <v>2</v>
      </c>
      <c r="P13" s="8">
        <v>505</v>
      </c>
    </row>
    <row r="14" spans="2:18" x14ac:dyDescent="0.2">
      <c r="C14" t="s">
        <v>203</v>
      </c>
      <c r="D14" s="82" t="s">
        <v>771</v>
      </c>
      <c r="E14" t="s">
        <v>203</v>
      </c>
      <c r="F14" t="b">
        <v>0</v>
      </c>
      <c r="G14" s="5">
        <v>0</v>
      </c>
      <c r="H14" s="8">
        <v>62</v>
      </c>
      <c r="I14">
        <v>1</v>
      </c>
      <c r="J14" s="8">
        <v>50</v>
      </c>
      <c r="K14">
        <v>2</v>
      </c>
      <c r="L14" s="8">
        <v>65</v>
      </c>
      <c r="M14">
        <v>2</v>
      </c>
      <c r="N14" s="8">
        <v>51</v>
      </c>
      <c r="O14">
        <v>0</v>
      </c>
      <c r="P14" s="8"/>
    </row>
    <row r="15" spans="2:18" x14ac:dyDescent="0.2">
      <c r="G15" s="5"/>
      <c r="H15" s="8"/>
      <c r="J15" s="8"/>
      <c r="L15" s="8"/>
      <c r="N15" s="8"/>
      <c r="P15" s="8"/>
    </row>
    <row r="16" spans="2:18" x14ac:dyDescent="0.2">
      <c r="C16" t="s">
        <v>204</v>
      </c>
      <c r="D16" t="s">
        <v>196</v>
      </c>
      <c r="E16" t="s">
        <v>204</v>
      </c>
      <c r="F16" t="b">
        <v>1</v>
      </c>
      <c r="G16" s="5">
        <v>2</v>
      </c>
      <c r="H16" s="8">
        <v>62</v>
      </c>
      <c r="I16">
        <v>2</v>
      </c>
      <c r="J16" s="8">
        <v>58</v>
      </c>
      <c r="K16">
        <v>2</v>
      </c>
      <c r="L16" s="8">
        <v>76</v>
      </c>
      <c r="M16">
        <v>2</v>
      </c>
      <c r="N16" s="8">
        <v>61</v>
      </c>
      <c r="O16">
        <v>2</v>
      </c>
      <c r="P16" s="8">
        <v>324</v>
      </c>
    </row>
    <row r="17" spans="3:16" x14ac:dyDescent="0.2">
      <c r="C17" t="s">
        <v>204</v>
      </c>
      <c r="D17" t="s">
        <v>198</v>
      </c>
      <c r="E17" t="s">
        <v>204</v>
      </c>
      <c r="F17" t="b">
        <v>0</v>
      </c>
      <c r="G17" s="5">
        <v>0</v>
      </c>
      <c r="H17" s="8">
        <v>62</v>
      </c>
      <c r="I17">
        <v>2</v>
      </c>
      <c r="J17" s="8">
        <v>58</v>
      </c>
      <c r="K17">
        <v>2</v>
      </c>
      <c r="L17" s="8">
        <v>76</v>
      </c>
      <c r="M17">
        <v>2</v>
      </c>
      <c r="N17" s="8">
        <v>61</v>
      </c>
      <c r="O17">
        <v>1</v>
      </c>
      <c r="P17" s="8"/>
    </row>
    <row r="18" spans="3:16" x14ac:dyDescent="0.2">
      <c r="C18" t="s">
        <v>204</v>
      </c>
      <c r="D18" t="s">
        <v>199</v>
      </c>
      <c r="E18" t="s">
        <v>204</v>
      </c>
      <c r="F18" t="b">
        <v>0</v>
      </c>
      <c r="G18" s="5">
        <v>0</v>
      </c>
      <c r="H18" s="8">
        <v>62</v>
      </c>
      <c r="I18">
        <v>2</v>
      </c>
      <c r="J18" s="8">
        <v>58</v>
      </c>
      <c r="K18">
        <v>2</v>
      </c>
      <c r="L18" s="8">
        <v>76</v>
      </c>
      <c r="M18">
        <v>2</v>
      </c>
      <c r="N18" s="8">
        <v>61</v>
      </c>
      <c r="O18">
        <v>1</v>
      </c>
      <c r="P18" s="8"/>
    </row>
    <row r="19" spans="3:16" x14ac:dyDescent="0.2">
      <c r="G19" s="5"/>
      <c r="H19" s="8"/>
      <c r="J19" s="8"/>
      <c r="L19" s="8"/>
      <c r="N19" s="8"/>
      <c r="P19" s="8"/>
    </row>
    <row r="20" spans="3:16" x14ac:dyDescent="0.2">
      <c r="C20" t="s">
        <v>205</v>
      </c>
      <c r="D20" t="s">
        <v>196</v>
      </c>
      <c r="E20" t="s">
        <v>205</v>
      </c>
      <c r="F20" t="b">
        <v>1</v>
      </c>
      <c r="G20" s="5">
        <v>2</v>
      </c>
      <c r="H20" s="8">
        <v>62</v>
      </c>
      <c r="I20">
        <v>2</v>
      </c>
      <c r="J20" s="8">
        <v>76</v>
      </c>
      <c r="K20">
        <v>2</v>
      </c>
      <c r="L20" s="8">
        <v>104</v>
      </c>
      <c r="M20">
        <v>2</v>
      </c>
      <c r="N20" s="8">
        <v>78</v>
      </c>
      <c r="O20">
        <v>2</v>
      </c>
      <c r="P20" s="8">
        <v>499</v>
      </c>
    </row>
    <row r="21" spans="3:16" x14ac:dyDescent="0.2">
      <c r="C21" t="s">
        <v>205</v>
      </c>
      <c r="D21" t="s">
        <v>199</v>
      </c>
      <c r="E21" t="s">
        <v>205</v>
      </c>
      <c r="F21" t="b">
        <v>1</v>
      </c>
      <c r="G21" s="5">
        <v>2</v>
      </c>
      <c r="H21" s="8">
        <v>62</v>
      </c>
      <c r="I21">
        <v>2</v>
      </c>
      <c r="J21" s="8">
        <v>76</v>
      </c>
      <c r="K21">
        <v>2</v>
      </c>
      <c r="L21" s="8">
        <v>104</v>
      </c>
      <c r="M21">
        <v>2</v>
      </c>
      <c r="N21" s="8">
        <v>78</v>
      </c>
      <c r="O21">
        <v>2</v>
      </c>
      <c r="P21" s="8">
        <v>493</v>
      </c>
    </row>
    <row r="22" spans="3:16" x14ac:dyDescent="0.2">
      <c r="C22" t="s">
        <v>205</v>
      </c>
      <c r="D22" t="s">
        <v>200</v>
      </c>
      <c r="E22" t="s">
        <v>205</v>
      </c>
      <c r="F22" t="b">
        <v>0</v>
      </c>
      <c r="G22" s="5">
        <v>2</v>
      </c>
      <c r="H22" s="8">
        <v>62</v>
      </c>
      <c r="I22">
        <v>2</v>
      </c>
      <c r="J22" s="8">
        <v>76</v>
      </c>
      <c r="K22">
        <v>2</v>
      </c>
      <c r="L22" s="8">
        <v>104</v>
      </c>
      <c r="M22">
        <v>2</v>
      </c>
      <c r="N22" s="8">
        <v>78</v>
      </c>
      <c r="O22">
        <v>2</v>
      </c>
      <c r="P22" s="8">
        <v>511</v>
      </c>
    </row>
    <row r="23" spans="3:16" x14ac:dyDescent="0.2">
      <c r="G23" s="5"/>
      <c r="H23" s="8"/>
      <c r="J23" s="8"/>
      <c r="L23" s="8"/>
      <c r="N23" s="8"/>
      <c r="P23" s="8"/>
    </row>
    <row r="24" spans="3:16" x14ac:dyDescent="0.2">
      <c r="C24" t="s">
        <v>206</v>
      </c>
      <c r="D24" t="s">
        <v>198</v>
      </c>
      <c r="E24" t="s">
        <v>206</v>
      </c>
      <c r="F24" t="b">
        <v>1</v>
      </c>
      <c r="G24" s="5">
        <v>2</v>
      </c>
      <c r="H24" s="8">
        <v>62</v>
      </c>
      <c r="I24">
        <v>2</v>
      </c>
      <c r="J24" s="8">
        <v>67</v>
      </c>
      <c r="K24">
        <v>2</v>
      </c>
      <c r="L24" s="8">
        <v>90</v>
      </c>
      <c r="M24">
        <v>2</v>
      </c>
      <c r="N24" s="8">
        <v>70</v>
      </c>
      <c r="O24">
        <v>2</v>
      </c>
      <c r="P24" s="8">
        <v>93</v>
      </c>
    </row>
    <row r="25" spans="3:16" x14ac:dyDescent="0.2">
      <c r="C25" t="s">
        <v>206</v>
      </c>
      <c r="D25" t="s">
        <v>196</v>
      </c>
      <c r="E25" t="s">
        <v>206</v>
      </c>
      <c r="F25" t="b">
        <v>0</v>
      </c>
      <c r="G25" s="5">
        <v>0</v>
      </c>
      <c r="H25" s="8">
        <v>62</v>
      </c>
      <c r="I25">
        <v>2</v>
      </c>
      <c r="J25" s="8">
        <v>67</v>
      </c>
      <c r="K25">
        <v>2</v>
      </c>
      <c r="L25" s="8">
        <v>90</v>
      </c>
      <c r="M25">
        <v>2</v>
      </c>
      <c r="N25" s="8">
        <v>70</v>
      </c>
      <c r="O25">
        <v>2</v>
      </c>
      <c r="P25" s="8">
        <v>300</v>
      </c>
    </row>
    <row r="26" spans="3:16" x14ac:dyDescent="0.2">
      <c r="G26" s="5"/>
      <c r="H26" s="8"/>
      <c r="J26" s="8"/>
      <c r="L26" s="8"/>
      <c r="N26" s="8"/>
      <c r="P26" s="8"/>
    </row>
    <row r="27" spans="3:16" x14ac:dyDescent="0.2">
      <c r="C27" t="s">
        <v>207</v>
      </c>
      <c r="D27" t="s">
        <v>201</v>
      </c>
      <c r="E27" t="s">
        <v>207</v>
      </c>
      <c r="F27" t="b">
        <v>1</v>
      </c>
      <c r="G27" s="5">
        <v>2</v>
      </c>
      <c r="H27" s="8">
        <v>35</v>
      </c>
      <c r="I27">
        <v>2</v>
      </c>
      <c r="J27" s="8">
        <v>94</v>
      </c>
      <c r="K27">
        <v>2</v>
      </c>
      <c r="L27" s="8">
        <v>115</v>
      </c>
      <c r="M27">
        <v>2</v>
      </c>
      <c r="N27" s="8">
        <v>95</v>
      </c>
      <c r="O27">
        <v>2</v>
      </c>
      <c r="P27" s="8">
        <v>481</v>
      </c>
    </row>
    <row r="28" spans="3:16" x14ac:dyDescent="0.2">
      <c r="C28" t="s">
        <v>207</v>
      </c>
      <c r="D28" t="s">
        <v>196</v>
      </c>
      <c r="E28" t="s">
        <v>207</v>
      </c>
      <c r="F28" t="b">
        <v>0</v>
      </c>
      <c r="G28" s="5">
        <v>2</v>
      </c>
      <c r="H28" s="8">
        <v>35</v>
      </c>
      <c r="I28">
        <v>2</v>
      </c>
      <c r="J28" s="8">
        <v>94</v>
      </c>
      <c r="K28">
        <v>2</v>
      </c>
      <c r="L28" s="8">
        <v>115</v>
      </c>
      <c r="M28">
        <v>2</v>
      </c>
      <c r="N28" s="8">
        <v>95</v>
      </c>
      <c r="O28">
        <v>1</v>
      </c>
      <c r="P28" s="8"/>
    </row>
    <row r="29" spans="3:16" x14ac:dyDescent="0.2">
      <c r="G29" s="5"/>
      <c r="H29" s="8"/>
      <c r="J29" s="8"/>
      <c r="L29" s="8"/>
      <c r="N29" s="8"/>
      <c r="P29" s="8"/>
    </row>
    <row r="30" spans="3:16" x14ac:dyDescent="0.2">
      <c r="C30" t="s">
        <v>208</v>
      </c>
      <c r="D30" t="s">
        <v>196</v>
      </c>
      <c r="E30" t="s">
        <v>208</v>
      </c>
      <c r="F30" t="b">
        <v>0</v>
      </c>
      <c r="G30" s="5">
        <v>2</v>
      </c>
      <c r="H30" s="8">
        <v>35</v>
      </c>
      <c r="I30">
        <v>2</v>
      </c>
      <c r="J30" s="8">
        <v>84</v>
      </c>
      <c r="K30">
        <v>2</v>
      </c>
      <c r="L30" s="8">
        <v>130</v>
      </c>
      <c r="M30">
        <v>2</v>
      </c>
      <c r="N30" s="8">
        <v>87</v>
      </c>
      <c r="O30">
        <v>2</v>
      </c>
      <c r="P30" s="8">
        <v>288</v>
      </c>
    </row>
    <row r="31" spans="3:16" x14ac:dyDescent="0.2">
      <c r="C31" t="s">
        <v>208</v>
      </c>
      <c r="D31" t="s">
        <v>199</v>
      </c>
      <c r="E31" t="s">
        <v>208</v>
      </c>
      <c r="F31" t="b">
        <v>1</v>
      </c>
      <c r="G31" s="5">
        <v>2</v>
      </c>
      <c r="H31" s="8">
        <v>35</v>
      </c>
      <c r="I31">
        <v>2</v>
      </c>
      <c r="J31" s="8">
        <v>84</v>
      </c>
      <c r="K31">
        <v>2</v>
      </c>
      <c r="L31" s="8">
        <v>130</v>
      </c>
      <c r="M31">
        <v>2</v>
      </c>
      <c r="N31" s="8">
        <v>87</v>
      </c>
      <c r="O31">
        <v>2</v>
      </c>
      <c r="P31" s="8">
        <v>282</v>
      </c>
    </row>
    <row r="32" spans="3:16" x14ac:dyDescent="0.2">
      <c r="G32" s="5"/>
      <c r="H32" s="8"/>
      <c r="J32" s="8"/>
      <c r="L32" s="8"/>
      <c r="N32" s="8"/>
      <c r="P32" s="8"/>
    </row>
    <row r="33" spans="2:18" x14ac:dyDescent="0.2">
      <c r="C33" t="s">
        <v>209</v>
      </c>
      <c r="D33" t="s">
        <v>196</v>
      </c>
      <c r="E33" t="s">
        <v>209</v>
      </c>
      <c r="F33" t="b">
        <v>1</v>
      </c>
      <c r="G33" s="5">
        <v>2</v>
      </c>
      <c r="H33" s="8">
        <v>35</v>
      </c>
      <c r="I33">
        <v>2</v>
      </c>
      <c r="J33" s="8">
        <v>103</v>
      </c>
      <c r="K33">
        <v>2</v>
      </c>
      <c r="L33" s="8">
        <v>144</v>
      </c>
      <c r="M33">
        <v>2</v>
      </c>
      <c r="N33" s="8">
        <v>104</v>
      </c>
      <c r="O33">
        <v>1</v>
      </c>
      <c r="P33" s="8">
        <v>454</v>
      </c>
    </row>
    <row r="34" spans="2:18" x14ac:dyDescent="0.2">
      <c r="C34" t="s">
        <v>209</v>
      </c>
      <c r="D34" t="s">
        <v>201</v>
      </c>
      <c r="E34" t="s">
        <v>209</v>
      </c>
      <c r="F34" t="b">
        <v>0</v>
      </c>
      <c r="G34" s="5">
        <v>2</v>
      </c>
      <c r="H34" s="8">
        <v>35</v>
      </c>
      <c r="I34">
        <v>2</v>
      </c>
      <c r="J34" s="8">
        <v>103</v>
      </c>
      <c r="K34">
        <v>2</v>
      </c>
      <c r="L34" s="8">
        <v>144</v>
      </c>
      <c r="M34">
        <v>2</v>
      </c>
      <c r="N34" s="8">
        <v>104</v>
      </c>
      <c r="O34">
        <v>2</v>
      </c>
      <c r="P34" s="8">
        <v>454</v>
      </c>
    </row>
    <row r="35" spans="2:18" x14ac:dyDescent="0.2">
      <c r="B35" s="88" t="s">
        <v>210</v>
      </c>
      <c r="C35" s="88"/>
      <c r="D35" s="88"/>
      <c r="E35" s="88"/>
      <c r="F35" s="88"/>
      <c r="G35" s="88">
        <f>SUM(G36:G42)/14</f>
        <v>1</v>
      </c>
      <c r="H35" s="89"/>
      <c r="I35" s="88">
        <f>SUM(I36:I42)/14</f>
        <v>1</v>
      </c>
      <c r="J35" s="89"/>
      <c r="K35" s="88">
        <f>SUM(K36:K42)/14</f>
        <v>1</v>
      </c>
      <c r="L35" s="89"/>
      <c r="M35" s="88">
        <f>SUM(M36:M42)/14</f>
        <v>1</v>
      </c>
      <c r="N35" s="89"/>
      <c r="O35" s="88">
        <f>SUM(O36:O42)/14</f>
        <v>0.7857142857142857</v>
      </c>
      <c r="P35" s="89"/>
      <c r="Q35" s="88"/>
      <c r="R35" s="88"/>
    </row>
    <row r="36" spans="2:18" x14ac:dyDescent="0.2">
      <c r="C36" t="s">
        <v>211</v>
      </c>
      <c r="D36" t="s">
        <v>212</v>
      </c>
      <c r="E36" t="s">
        <v>211</v>
      </c>
      <c r="F36" t="b">
        <v>1</v>
      </c>
      <c r="G36" s="5">
        <v>2</v>
      </c>
      <c r="H36" s="8">
        <v>87</v>
      </c>
      <c r="I36">
        <v>2</v>
      </c>
      <c r="J36" s="8">
        <v>112</v>
      </c>
      <c r="K36">
        <v>2</v>
      </c>
      <c r="L36" s="8">
        <v>164</v>
      </c>
      <c r="M36">
        <v>2</v>
      </c>
      <c r="N36" s="8">
        <v>117</v>
      </c>
      <c r="O36">
        <v>0</v>
      </c>
      <c r="P36" s="8"/>
    </row>
    <row r="37" spans="2:18" x14ac:dyDescent="0.2">
      <c r="C37" t="s">
        <v>211</v>
      </c>
      <c r="D37" t="s">
        <v>213</v>
      </c>
      <c r="E37" t="s">
        <v>211</v>
      </c>
      <c r="F37" t="b">
        <v>1</v>
      </c>
      <c r="G37" s="5">
        <v>2</v>
      </c>
      <c r="H37" s="8">
        <v>87</v>
      </c>
      <c r="I37">
        <v>2</v>
      </c>
      <c r="J37" s="8">
        <v>112</v>
      </c>
      <c r="K37">
        <v>2</v>
      </c>
      <c r="L37" s="8">
        <v>164</v>
      </c>
      <c r="M37">
        <v>2</v>
      </c>
      <c r="N37" s="8">
        <v>117</v>
      </c>
      <c r="O37">
        <v>2</v>
      </c>
      <c r="P37" s="8">
        <v>448</v>
      </c>
    </row>
    <row r="38" spans="2:18" x14ac:dyDescent="0.2">
      <c r="C38" t="s">
        <v>211</v>
      </c>
      <c r="D38" t="s">
        <v>196</v>
      </c>
      <c r="E38" t="s">
        <v>211</v>
      </c>
      <c r="F38" t="b">
        <v>1</v>
      </c>
      <c r="G38" s="5">
        <v>2</v>
      </c>
      <c r="H38" s="8">
        <v>87</v>
      </c>
      <c r="I38">
        <v>2</v>
      </c>
      <c r="J38" s="8">
        <v>112</v>
      </c>
      <c r="K38">
        <v>2</v>
      </c>
      <c r="L38" s="8">
        <v>164</v>
      </c>
      <c r="M38">
        <v>2</v>
      </c>
      <c r="N38" s="8">
        <v>117</v>
      </c>
      <c r="O38">
        <v>2</v>
      </c>
      <c r="P38" s="8">
        <v>57</v>
      </c>
    </row>
    <row r="39" spans="2:18" x14ac:dyDescent="0.2">
      <c r="C39" t="s">
        <v>211</v>
      </c>
      <c r="D39" t="s">
        <v>214</v>
      </c>
      <c r="E39" t="s">
        <v>211</v>
      </c>
      <c r="F39" t="b">
        <v>1</v>
      </c>
      <c r="G39" s="5">
        <v>2</v>
      </c>
      <c r="H39" s="8">
        <v>87</v>
      </c>
      <c r="I39">
        <v>2</v>
      </c>
      <c r="J39" s="8">
        <v>112</v>
      </c>
      <c r="K39">
        <v>2</v>
      </c>
      <c r="L39" s="8">
        <v>164</v>
      </c>
      <c r="M39">
        <v>2</v>
      </c>
      <c r="N39" s="8">
        <v>117</v>
      </c>
      <c r="O39">
        <v>2</v>
      </c>
      <c r="P39" s="8">
        <v>51</v>
      </c>
    </row>
    <row r="40" spans="2:18" x14ac:dyDescent="0.2">
      <c r="C40" t="s">
        <v>211</v>
      </c>
      <c r="D40" t="s">
        <v>215</v>
      </c>
      <c r="E40" t="s">
        <v>211</v>
      </c>
      <c r="F40" t="b">
        <v>0</v>
      </c>
      <c r="G40" s="5">
        <v>2</v>
      </c>
      <c r="H40" s="8">
        <v>87</v>
      </c>
      <c r="I40">
        <v>2</v>
      </c>
      <c r="J40" s="8">
        <v>112</v>
      </c>
      <c r="K40">
        <v>2</v>
      </c>
      <c r="L40" s="8">
        <v>164</v>
      </c>
      <c r="M40">
        <v>2</v>
      </c>
      <c r="N40" s="8">
        <v>117</v>
      </c>
      <c r="O40">
        <v>1</v>
      </c>
      <c r="P40" s="8"/>
    </row>
    <row r="41" spans="2:18" x14ac:dyDescent="0.2">
      <c r="C41" t="s">
        <v>211</v>
      </c>
      <c r="D41" t="s">
        <v>198</v>
      </c>
      <c r="E41" t="s">
        <v>211</v>
      </c>
      <c r="F41" t="b">
        <v>1</v>
      </c>
      <c r="G41" s="5">
        <v>2</v>
      </c>
      <c r="H41" s="8">
        <v>87</v>
      </c>
      <c r="I41">
        <v>2</v>
      </c>
      <c r="J41" s="8">
        <v>112</v>
      </c>
      <c r="K41">
        <v>2</v>
      </c>
      <c r="L41" s="8">
        <v>164</v>
      </c>
      <c r="M41">
        <v>2</v>
      </c>
      <c r="N41" s="8">
        <v>117</v>
      </c>
      <c r="O41">
        <v>2</v>
      </c>
      <c r="P41" s="8">
        <v>45</v>
      </c>
    </row>
    <row r="42" spans="2:18" x14ac:dyDescent="0.2">
      <c r="C42" t="s">
        <v>211</v>
      </c>
      <c r="D42" t="s">
        <v>218</v>
      </c>
      <c r="E42" t="s">
        <v>211</v>
      </c>
      <c r="F42" t="b">
        <v>0</v>
      </c>
      <c r="G42" s="5">
        <v>2</v>
      </c>
      <c r="H42" s="8">
        <v>87</v>
      </c>
      <c r="I42">
        <v>2</v>
      </c>
      <c r="J42" s="8">
        <v>112</v>
      </c>
      <c r="K42">
        <v>2</v>
      </c>
      <c r="L42" s="8">
        <v>164</v>
      </c>
      <c r="M42">
        <v>2</v>
      </c>
      <c r="N42" s="8">
        <v>117</v>
      </c>
      <c r="O42">
        <v>2</v>
      </c>
      <c r="P42" s="8">
        <v>442</v>
      </c>
    </row>
    <row r="43" spans="2:18" x14ac:dyDescent="0.2">
      <c r="B43" s="88" t="s">
        <v>219</v>
      </c>
      <c r="C43" s="88"/>
      <c r="D43" s="88"/>
      <c r="E43" s="88"/>
      <c r="F43" s="88"/>
      <c r="G43" s="88">
        <f>SUM(G44:G46)/6</f>
        <v>1</v>
      </c>
      <c r="H43" s="89"/>
      <c r="I43" s="88">
        <f>SUM(I44:I46)/6</f>
        <v>1</v>
      </c>
      <c r="J43" s="89"/>
      <c r="K43" s="88">
        <f>SUM(K44:K46)/6</f>
        <v>1</v>
      </c>
      <c r="L43" s="89"/>
      <c r="M43" s="88">
        <f>SUM(M44:M46)/6</f>
        <v>1</v>
      </c>
      <c r="N43" s="89"/>
      <c r="O43" s="88">
        <f>SUM(O44:O46)/6</f>
        <v>0.83333333333333337</v>
      </c>
      <c r="P43" s="89"/>
      <c r="Q43" s="88"/>
      <c r="R43" s="88"/>
    </row>
    <row r="44" spans="2:18" x14ac:dyDescent="0.2">
      <c r="C44" t="s">
        <v>220</v>
      </c>
      <c r="D44" t="s">
        <v>212</v>
      </c>
      <c r="E44" t="s">
        <v>220</v>
      </c>
      <c r="F44" t="b">
        <v>1</v>
      </c>
      <c r="G44" s="5">
        <v>2</v>
      </c>
      <c r="H44" s="8">
        <v>87</v>
      </c>
      <c r="I44">
        <v>2</v>
      </c>
      <c r="J44" s="8">
        <v>125</v>
      </c>
      <c r="K44">
        <v>2</v>
      </c>
      <c r="L44" s="8">
        <v>187</v>
      </c>
      <c r="M44">
        <v>2</v>
      </c>
      <c r="N44" s="8">
        <v>134</v>
      </c>
      <c r="O44">
        <v>2</v>
      </c>
      <c r="P44" s="8">
        <v>33</v>
      </c>
    </row>
    <row r="45" spans="2:18" x14ac:dyDescent="0.2">
      <c r="C45" t="s">
        <v>220</v>
      </c>
      <c r="D45" t="s">
        <v>221</v>
      </c>
      <c r="E45" t="s">
        <v>220</v>
      </c>
      <c r="F45" t="b">
        <v>1</v>
      </c>
      <c r="G45" s="5">
        <v>2</v>
      </c>
      <c r="H45" s="8">
        <v>87</v>
      </c>
      <c r="I45">
        <v>2</v>
      </c>
      <c r="J45" s="8">
        <v>125</v>
      </c>
      <c r="K45">
        <v>2</v>
      </c>
      <c r="L45" s="8">
        <v>187</v>
      </c>
      <c r="M45">
        <v>2</v>
      </c>
      <c r="N45" s="8">
        <v>134</v>
      </c>
      <c r="O45">
        <v>2</v>
      </c>
      <c r="P45" s="8">
        <v>27</v>
      </c>
    </row>
    <row r="46" spans="2:18" x14ac:dyDescent="0.2">
      <c r="C46" t="s">
        <v>220</v>
      </c>
      <c r="D46" t="s">
        <v>222</v>
      </c>
      <c r="E46" t="s">
        <v>220</v>
      </c>
      <c r="F46" t="b">
        <v>0</v>
      </c>
      <c r="G46" s="5">
        <v>2</v>
      </c>
      <c r="H46" s="8">
        <v>87</v>
      </c>
      <c r="I46">
        <v>2</v>
      </c>
      <c r="J46" s="8">
        <v>125</v>
      </c>
      <c r="K46">
        <v>2</v>
      </c>
      <c r="L46" s="8">
        <v>187</v>
      </c>
      <c r="M46">
        <v>2</v>
      </c>
      <c r="N46" s="8">
        <v>134</v>
      </c>
      <c r="O46">
        <v>1</v>
      </c>
      <c r="P46" s="8"/>
    </row>
    <row r="47" spans="2:18" x14ac:dyDescent="0.2">
      <c r="B47" s="88" t="s">
        <v>223</v>
      </c>
      <c r="C47" s="88"/>
      <c r="D47" s="88"/>
      <c r="E47" s="88"/>
      <c r="F47" s="88"/>
      <c r="G47" s="88">
        <f>SUM(G48:G55)/16</f>
        <v>1</v>
      </c>
      <c r="H47" s="89"/>
      <c r="I47" s="88">
        <f>SUM(I48:I55)/16</f>
        <v>0.875</v>
      </c>
      <c r="J47" s="89"/>
      <c r="K47" s="88">
        <f>SUM(K48:K55)/16</f>
        <v>1</v>
      </c>
      <c r="L47" s="89"/>
      <c r="M47" s="88">
        <f>SUM(M48:M55)/16</f>
        <v>1</v>
      </c>
      <c r="N47" s="89"/>
      <c r="O47" s="88">
        <f>SUM(O48:O55)/16</f>
        <v>1</v>
      </c>
      <c r="P47" s="89"/>
      <c r="Q47" s="88"/>
      <c r="R47" s="88"/>
    </row>
    <row r="48" spans="2:18" x14ac:dyDescent="0.2">
      <c r="C48" t="s">
        <v>772</v>
      </c>
      <c r="D48" t="s">
        <v>225</v>
      </c>
      <c r="E48" t="s">
        <v>224</v>
      </c>
      <c r="F48" t="s">
        <v>766</v>
      </c>
      <c r="G48" s="5">
        <v>2</v>
      </c>
      <c r="H48" s="8">
        <v>135</v>
      </c>
      <c r="I48">
        <v>2</v>
      </c>
      <c r="J48" s="8">
        <v>145</v>
      </c>
      <c r="K48">
        <v>2</v>
      </c>
      <c r="L48" s="8">
        <v>217</v>
      </c>
      <c r="M48">
        <v>2</v>
      </c>
      <c r="N48" s="8">
        <v>158</v>
      </c>
      <c r="O48">
        <v>2</v>
      </c>
      <c r="P48" s="8">
        <v>177</v>
      </c>
    </row>
    <row r="49" spans="2:18" x14ac:dyDescent="0.2">
      <c r="C49" t="s">
        <v>772</v>
      </c>
      <c r="D49" t="s">
        <v>229</v>
      </c>
      <c r="E49" t="s">
        <v>224</v>
      </c>
      <c r="F49" t="s">
        <v>198</v>
      </c>
      <c r="G49" s="5">
        <v>2</v>
      </c>
      <c r="H49" s="8">
        <v>135</v>
      </c>
      <c r="I49">
        <v>2</v>
      </c>
      <c r="J49" s="8">
        <v>145</v>
      </c>
      <c r="K49">
        <v>2</v>
      </c>
      <c r="L49" s="8">
        <v>222</v>
      </c>
      <c r="M49">
        <v>2</v>
      </c>
      <c r="N49" s="8">
        <v>158</v>
      </c>
      <c r="O49">
        <v>2</v>
      </c>
      <c r="P49" s="8">
        <v>183</v>
      </c>
    </row>
    <row r="50" spans="2:18" x14ac:dyDescent="0.2">
      <c r="C50" t="s">
        <v>772</v>
      </c>
      <c r="D50" t="s">
        <v>232</v>
      </c>
      <c r="E50" t="s">
        <v>224</v>
      </c>
      <c r="F50" t="s">
        <v>198</v>
      </c>
      <c r="G50" s="5">
        <v>2</v>
      </c>
      <c r="H50" s="8">
        <v>113</v>
      </c>
      <c r="I50">
        <v>2</v>
      </c>
      <c r="J50" s="8">
        <v>135</v>
      </c>
      <c r="K50">
        <v>2</v>
      </c>
      <c r="L50" s="8">
        <v>211</v>
      </c>
      <c r="M50">
        <v>2</v>
      </c>
      <c r="N50" s="8">
        <v>147</v>
      </c>
      <c r="O50">
        <v>2</v>
      </c>
      <c r="P50" s="8">
        <v>190</v>
      </c>
    </row>
    <row r="51" spans="2:18" x14ac:dyDescent="0.2">
      <c r="C51" t="s">
        <v>772</v>
      </c>
      <c r="D51" t="s">
        <v>236</v>
      </c>
      <c r="E51" t="s">
        <v>224</v>
      </c>
      <c r="F51" t="s">
        <v>280</v>
      </c>
      <c r="G51" s="5">
        <v>2</v>
      </c>
      <c r="H51" s="8">
        <v>125</v>
      </c>
      <c r="I51">
        <v>2</v>
      </c>
      <c r="J51" s="8">
        <v>140</v>
      </c>
      <c r="K51">
        <v>2</v>
      </c>
      <c r="L51" s="8">
        <v>203</v>
      </c>
      <c r="M51">
        <v>2</v>
      </c>
      <c r="N51" s="8">
        <v>153</v>
      </c>
      <c r="O51">
        <v>2</v>
      </c>
      <c r="P51" s="8">
        <v>246</v>
      </c>
    </row>
    <row r="52" spans="2:18" x14ac:dyDescent="0.2">
      <c r="C52" t="s">
        <v>772</v>
      </c>
      <c r="D52" t="s">
        <v>240</v>
      </c>
      <c r="E52" t="s">
        <v>224</v>
      </c>
      <c r="F52" t="s">
        <v>766</v>
      </c>
      <c r="G52" s="5">
        <v>2</v>
      </c>
      <c r="H52" s="8">
        <v>141</v>
      </c>
      <c r="I52">
        <v>2</v>
      </c>
      <c r="J52" s="8">
        <v>167</v>
      </c>
      <c r="K52">
        <v>2</v>
      </c>
      <c r="L52" s="8">
        <v>253</v>
      </c>
      <c r="M52">
        <v>2</v>
      </c>
      <c r="N52" s="8">
        <v>180</v>
      </c>
      <c r="O52">
        <v>2</v>
      </c>
      <c r="P52" s="8">
        <v>411</v>
      </c>
    </row>
    <row r="53" spans="2:18" x14ac:dyDescent="0.2">
      <c r="C53" t="s">
        <v>772</v>
      </c>
      <c r="D53" t="s">
        <v>242</v>
      </c>
      <c r="E53" t="s">
        <v>224</v>
      </c>
      <c r="F53" t="s">
        <v>198</v>
      </c>
      <c r="G53" s="5">
        <v>2</v>
      </c>
      <c r="H53" s="8">
        <v>141</v>
      </c>
      <c r="I53">
        <v>2</v>
      </c>
      <c r="J53" s="8">
        <v>167</v>
      </c>
      <c r="K53">
        <v>2</v>
      </c>
      <c r="L53" s="8">
        <v>252</v>
      </c>
      <c r="M53">
        <v>2</v>
      </c>
      <c r="N53" s="8">
        <v>180</v>
      </c>
      <c r="O53">
        <v>2</v>
      </c>
      <c r="P53" s="8">
        <v>153</v>
      </c>
    </row>
    <row r="54" spans="2:18" x14ac:dyDescent="0.2">
      <c r="C54" t="s">
        <v>772</v>
      </c>
      <c r="D54" t="s">
        <v>243</v>
      </c>
      <c r="E54" t="s">
        <v>224</v>
      </c>
      <c r="F54" t="s">
        <v>767</v>
      </c>
      <c r="G54" s="5">
        <v>2</v>
      </c>
      <c r="H54" s="8">
        <v>141</v>
      </c>
      <c r="I54">
        <v>0</v>
      </c>
      <c r="J54" s="8"/>
      <c r="K54">
        <v>2</v>
      </c>
      <c r="L54" s="8">
        <v>252</v>
      </c>
      <c r="M54">
        <v>2</v>
      </c>
      <c r="N54" s="8">
        <v>180</v>
      </c>
      <c r="O54">
        <v>2</v>
      </c>
      <c r="P54" s="8">
        <v>153</v>
      </c>
    </row>
    <row r="55" spans="2:18" x14ac:dyDescent="0.2">
      <c r="C55" t="s">
        <v>772</v>
      </c>
      <c r="D55" t="s">
        <v>241</v>
      </c>
      <c r="E55" t="s">
        <v>224</v>
      </c>
      <c r="F55" t="s">
        <v>766</v>
      </c>
      <c r="G55" s="5">
        <v>2</v>
      </c>
      <c r="H55" s="8">
        <v>141</v>
      </c>
      <c r="I55">
        <v>2</v>
      </c>
      <c r="J55" s="8">
        <v>167</v>
      </c>
      <c r="K55">
        <v>2</v>
      </c>
      <c r="L55" s="8">
        <v>252</v>
      </c>
      <c r="M55">
        <v>2</v>
      </c>
      <c r="N55" s="8">
        <v>180</v>
      </c>
      <c r="O55">
        <v>2</v>
      </c>
      <c r="P55" s="8">
        <v>21</v>
      </c>
    </row>
    <row r="56" spans="2:18" x14ac:dyDescent="0.2">
      <c r="B56" s="88" t="s">
        <v>244</v>
      </c>
      <c r="C56" s="88"/>
      <c r="D56" s="88"/>
      <c r="E56" s="88"/>
      <c r="F56" s="88"/>
      <c r="G56" s="88">
        <f>SUM(G57:G60)/8</f>
        <v>1</v>
      </c>
      <c r="H56" s="89"/>
      <c r="I56" s="88">
        <f>SUM(I57:I60)/8</f>
        <v>1</v>
      </c>
      <c r="J56" s="89"/>
      <c r="K56" s="88">
        <f>SUM(K57:K60)/8</f>
        <v>1</v>
      </c>
      <c r="L56" s="89"/>
      <c r="M56" s="88">
        <f>SUM(M57:M60)/8</f>
        <v>1</v>
      </c>
      <c r="N56" s="89"/>
      <c r="O56" s="88">
        <f>SUM(O57:O60)/8</f>
        <v>1</v>
      </c>
      <c r="P56" s="89"/>
      <c r="Q56" s="88"/>
      <c r="R56" s="88"/>
    </row>
    <row r="57" spans="2:18" x14ac:dyDescent="0.2">
      <c r="C57" t="s">
        <v>773</v>
      </c>
      <c r="D57" t="s">
        <v>246</v>
      </c>
      <c r="E57" t="s">
        <v>245</v>
      </c>
      <c r="F57">
        <v>3</v>
      </c>
      <c r="G57" s="5">
        <v>2</v>
      </c>
      <c r="H57" s="8">
        <v>184</v>
      </c>
      <c r="I57">
        <v>2</v>
      </c>
      <c r="J57" s="8">
        <v>208</v>
      </c>
      <c r="K57">
        <v>2</v>
      </c>
      <c r="L57" s="8">
        <v>280</v>
      </c>
      <c r="M57">
        <v>2</v>
      </c>
      <c r="N57" s="8">
        <v>192</v>
      </c>
      <c r="O57">
        <v>2</v>
      </c>
      <c r="P57" s="8">
        <v>261</v>
      </c>
    </row>
    <row r="58" spans="2:18" x14ac:dyDescent="0.2">
      <c r="C58" t="s">
        <v>773</v>
      </c>
      <c r="D58" t="s">
        <v>248</v>
      </c>
      <c r="E58" t="s">
        <v>245</v>
      </c>
      <c r="F58" t="s">
        <v>54</v>
      </c>
      <c r="G58" s="5">
        <v>2</v>
      </c>
      <c r="H58" s="8">
        <v>184</v>
      </c>
      <c r="I58">
        <v>2</v>
      </c>
      <c r="J58" s="8">
        <v>197</v>
      </c>
      <c r="K58">
        <v>2</v>
      </c>
      <c r="L58" s="8">
        <v>287</v>
      </c>
      <c r="M58">
        <v>2</v>
      </c>
      <c r="N58" s="8">
        <v>199</v>
      </c>
      <c r="O58">
        <v>2</v>
      </c>
      <c r="P58" s="8">
        <v>267</v>
      </c>
    </row>
    <row r="59" spans="2:18" x14ac:dyDescent="0.2">
      <c r="C59" t="s">
        <v>773</v>
      </c>
      <c r="D59" t="s">
        <v>250</v>
      </c>
      <c r="E59" t="s">
        <v>245</v>
      </c>
      <c r="F59">
        <v>-1</v>
      </c>
      <c r="G59" s="5">
        <v>2</v>
      </c>
      <c r="H59" s="8">
        <v>184</v>
      </c>
      <c r="I59">
        <v>2</v>
      </c>
      <c r="J59" s="8">
        <v>202</v>
      </c>
      <c r="K59">
        <v>2</v>
      </c>
      <c r="L59" s="8">
        <v>295</v>
      </c>
      <c r="M59">
        <v>2</v>
      </c>
      <c r="N59" s="8">
        <v>204</v>
      </c>
      <c r="O59">
        <v>2</v>
      </c>
      <c r="P59" s="8">
        <v>398</v>
      </c>
    </row>
    <row r="60" spans="2:18" x14ac:dyDescent="0.2">
      <c r="C60" t="s">
        <v>773</v>
      </c>
      <c r="D60" t="s">
        <v>236</v>
      </c>
      <c r="E60" t="s">
        <v>245</v>
      </c>
      <c r="F60" t="s">
        <v>280</v>
      </c>
      <c r="G60" s="5">
        <v>2</v>
      </c>
      <c r="H60" s="8">
        <v>204</v>
      </c>
      <c r="I60">
        <v>2</v>
      </c>
      <c r="J60" s="8">
        <v>213</v>
      </c>
      <c r="K60">
        <v>2</v>
      </c>
      <c r="L60" s="8">
        <v>307</v>
      </c>
      <c r="M60">
        <v>2</v>
      </c>
      <c r="N60" s="8">
        <v>215</v>
      </c>
      <c r="O60">
        <v>2</v>
      </c>
      <c r="P60" s="8">
        <v>216</v>
      </c>
    </row>
    <row r="61" spans="2:18" x14ac:dyDescent="0.2">
      <c r="B61" s="88" t="s">
        <v>255</v>
      </c>
      <c r="C61" s="88"/>
      <c r="D61" s="88"/>
      <c r="E61" s="88"/>
      <c r="F61" s="88"/>
      <c r="G61" s="88">
        <f>SUM(G62:G63)/4</f>
        <v>1</v>
      </c>
      <c r="H61" s="89"/>
      <c r="I61" s="88">
        <f>SUM(I62:I63)/4</f>
        <v>1</v>
      </c>
      <c r="J61" s="89"/>
      <c r="K61" s="88">
        <f>SUM(K62:K63)/4</f>
        <v>1</v>
      </c>
      <c r="L61" s="89"/>
      <c r="M61" s="88">
        <f>SUM(M62:M63)/4</f>
        <v>1</v>
      </c>
      <c r="N61" s="89"/>
      <c r="O61" s="88">
        <f>SUM(O62:O63)/4</f>
        <v>1</v>
      </c>
      <c r="P61" s="89"/>
      <c r="Q61" s="88"/>
      <c r="R61" s="88"/>
    </row>
    <row r="62" spans="2:18" x14ac:dyDescent="0.2">
      <c r="C62" t="s">
        <v>256</v>
      </c>
      <c r="D62" t="s">
        <v>259</v>
      </c>
      <c r="E62" t="s">
        <v>256</v>
      </c>
      <c r="F62" t="s">
        <v>768</v>
      </c>
      <c r="G62" s="5">
        <v>2</v>
      </c>
      <c r="H62" s="8">
        <v>222</v>
      </c>
      <c r="I62">
        <v>2</v>
      </c>
      <c r="J62" s="8">
        <v>227</v>
      </c>
      <c r="K62">
        <v>2</v>
      </c>
      <c r="L62" s="8">
        <v>338</v>
      </c>
      <c r="M62">
        <v>2</v>
      </c>
      <c r="N62" s="8">
        <v>231</v>
      </c>
      <c r="O62">
        <v>2</v>
      </c>
      <c r="P62" s="8">
        <v>367</v>
      </c>
    </row>
    <row r="63" spans="2:18" x14ac:dyDescent="0.2">
      <c r="C63" t="s">
        <v>256</v>
      </c>
      <c r="D63" t="s">
        <v>769</v>
      </c>
      <c r="E63" t="s">
        <v>256</v>
      </c>
      <c r="F63" t="s">
        <v>385</v>
      </c>
      <c r="G63" s="5">
        <v>2</v>
      </c>
      <c r="H63" s="8">
        <v>222</v>
      </c>
      <c r="I63">
        <v>2</v>
      </c>
      <c r="J63" s="8">
        <v>237</v>
      </c>
      <c r="K63">
        <v>2</v>
      </c>
      <c r="L63" s="8">
        <v>344</v>
      </c>
      <c r="M63">
        <v>2</v>
      </c>
      <c r="N63" s="8">
        <v>241</v>
      </c>
      <c r="O63">
        <v>2</v>
      </c>
      <c r="P63" s="8">
        <v>361</v>
      </c>
    </row>
    <row r="64" spans="2:18" x14ac:dyDescent="0.2">
      <c r="B64" s="88" t="s">
        <v>265</v>
      </c>
      <c r="C64" s="88"/>
      <c r="D64" s="88"/>
      <c r="E64" s="88"/>
      <c r="F64" s="88"/>
      <c r="G64" s="88">
        <f>SUM(G65:G66)/4</f>
        <v>1</v>
      </c>
      <c r="H64" s="89"/>
      <c r="I64" s="88">
        <f>SUM(I65:I66)/4</f>
        <v>1</v>
      </c>
      <c r="J64" s="89"/>
      <c r="K64" s="88">
        <f>SUM(K65:K66)/4</f>
        <v>1</v>
      </c>
      <c r="L64" s="89"/>
      <c r="M64" s="88">
        <f>SUM(M65:M66)/4</f>
        <v>1</v>
      </c>
      <c r="N64" s="89"/>
      <c r="O64" s="88">
        <f>SUM(O65:O66)/4</f>
        <v>1</v>
      </c>
      <c r="P64" s="89"/>
      <c r="Q64" s="88"/>
      <c r="R64" s="88"/>
    </row>
    <row r="65" spans="3:18" x14ac:dyDescent="0.2">
      <c r="C65" t="s">
        <v>266</v>
      </c>
      <c r="D65" t="s">
        <v>259</v>
      </c>
      <c r="E65" t="s">
        <v>266</v>
      </c>
      <c r="F65" t="s">
        <v>770</v>
      </c>
      <c r="G65" s="5">
        <v>2</v>
      </c>
      <c r="H65" s="8">
        <v>246</v>
      </c>
      <c r="I65">
        <v>2</v>
      </c>
      <c r="J65" s="8">
        <v>245</v>
      </c>
      <c r="K65">
        <v>2</v>
      </c>
      <c r="L65" s="8">
        <v>389</v>
      </c>
      <c r="M65">
        <v>2</v>
      </c>
      <c r="N65" s="8">
        <v>251</v>
      </c>
      <c r="O65">
        <v>2</v>
      </c>
      <c r="P65" s="8">
        <v>336</v>
      </c>
    </row>
    <row r="66" spans="3:18" x14ac:dyDescent="0.2">
      <c r="C66" t="s">
        <v>266</v>
      </c>
      <c r="D66" t="s">
        <v>769</v>
      </c>
      <c r="E66" t="s">
        <v>266</v>
      </c>
      <c r="F66" t="s">
        <v>385</v>
      </c>
      <c r="G66" s="5">
        <v>2</v>
      </c>
      <c r="H66" s="8">
        <v>246</v>
      </c>
      <c r="I66">
        <v>2</v>
      </c>
      <c r="J66" s="8">
        <v>254</v>
      </c>
      <c r="K66">
        <v>2</v>
      </c>
      <c r="L66" s="8">
        <v>396</v>
      </c>
      <c r="M66">
        <v>2</v>
      </c>
      <c r="N66" s="8">
        <v>261</v>
      </c>
      <c r="O66">
        <v>2</v>
      </c>
      <c r="P66" s="8">
        <v>349</v>
      </c>
    </row>
    <row r="68" spans="3:18" x14ac:dyDescent="0.2">
      <c r="F68" s="43" t="s">
        <v>35</v>
      </c>
      <c r="G68" s="43">
        <f>SUM(G5:G7,G9:G34,G36:G42,G44:G46,G48:G55,G57:G60,G62:G63,G65:G66)</f>
        <v>88</v>
      </c>
      <c r="H68" s="43"/>
      <c r="I68" s="43">
        <f>SUM(I5:I7,I9:I34,I36:I42,I44:I46,I48:I55,I57:I60,I62:I63,I65:I66)</f>
        <v>93</v>
      </c>
      <c r="J68" s="43"/>
      <c r="K68" s="43">
        <f>SUM(K5:K7,K9:K34,K36:K42,K44:K46,K48:K55,K57:K60,K62:K63,K65:K66)</f>
        <v>96</v>
      </c>
      <c r="L68" s="43"/>
      <c r="M68" s="43">
        <f>SUM(M5:M7,M9:M34,M36:M42,M44:M46,M48:M55,M57:M60,M62:M63,M65:M66)</f>
        <v>96</v>
      </c>
      <c r="N68" s="43"/>
      <c r="O68" s="43">
        <f>SUM(O5:O7,O9:O34,O36:O42,O44:O46,O48:O55,O57:O60,O62:O63,O65:O66)</f>
        <v>86</v>
      </c>
      <c r="P68" s="43"/>
      <c r="Q68" s="43"/>
      <c r="R68" s="43"/>
    </row>
    <row r="69" spans="3:18" x14ac:dyDescent="0.2">
      <c r="F69" t="s">
        <v>785</v>
      </c>
      <c r="G69" s="67">
        <f>G68/96</f>
        <v>0.91666666666666663</v>
      </c>
      <c r="H69" s="67"/>
      <c r="I69" s="67">
        <f>I68/96</f>
        <v>0.96875</v>
      </c>
      <c r="J69" s="67"/>
      <c r="K69" s="67">
        <f>K68/96</f>
        <v>1</v>
      </c>
      <c r="L69" s="67"/>
      <c r="M69" s="67">
        <f>M68/96</f>
        <v>1</v>
      </c>
      <c r="N69" s="67"/>
      <c r="O69" s="67">
        <f>O68/96</f>
        <v>0.89583333333333337</v>
      </c>
    </row>
    <row r="71" spans="3:18" x14ac:dyDescent="0.2">
      <c r="G71" s="67">
        <f>SUM(G4,G8,G35,G43,G47,G56,G61,G64)/8</f>
        <v>0.97368421052631582</v>
      </c>
      <c r="H71" s="67"/>
      <c r="I71" s="67">
        <f>SUM(I4,I8,I35,I43,I47,I56,I61,I64)/8</f>
        <v>0.98108552631578949</v>
      </c>
      <c r="J71" s="67"/>
      <c r="K71" s="67">
        <f>SUM(K4,K8,K35,K43,K47,K56,K61,K64)/8</f>
        <v>1</v>
      </c>
      <c r="L71" s="67"/>
      <c r="M71" s="67">
        <f>SUM(M4,M8,M35,M43,M47,M56,M61,M64)/8</f>
        <v>1</v>
      </c>
      <c r="N71" s="67"/>
      <c r="O71" s="67">
        <f>SUM(O4,O8,O35,O43,O47,O56,O61,O64)/8</f>
        <v>0.93264411027568928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FEBC-D7DA-3E43-84E1-0A0F71F8D3B6}">
  <dimension ref="B3:R66"/>
  <sheetViews>
    <sheetView topLeftCell="A38" zoomScale="116" workbookViewId="0">
      <selection activeCell="H69" sqref="H69"/>
    </sheetView>
  </sheetViews>
  <sheetFormatPr baseColWidth="10" defaultRowHeight="16" x14ac:dyDescent="0.2"/>
  <cols>
    <col min="3" max="3" width="23.1640625" bestFit="1" customWidth="1"/>
    <col min="4" max="4" width="18.33203125" bestFit="1" customWidth="1"/>
    <col min="5" max="5" width="23" bestFit="1" customWidth="1"/>
    <col min="6" max="6" width="23.6640625" bestFit="1" customWidth="1"/>
    <col min="8" max="8" width="17.5" bestFit="1" customWidth="1"/>
    <col min="9" max="9" width="7" bestFit="1" customWidth="1"/>
    <col min="10" max="10" width="9.83203125" bestFit="1" customWidth="1"/>
    <col min="11" max="11" width="8.1640625" bestFit="1" customWidth="1"/>
    <col min="12" max="12" width="8.33203125" bestFit="1" customWidth="1"/>
  </cols>
  <sheetData>
    <row r="3" spans="2:18" x14ac:dyDescent="0.2">
      <c r="C3" t="s">
        <v>269</v>
      </c>
      <c r="G3" s="5" t="s">
        <v>776</v>
      </c>
    </row>
    <row r="4" spans="2:18" x14ac:dyDescent="0.2">
      <c r="B4" s="4" t="s">
        <v>774</v>
      </c>
      <c r="C4" s="3" t="s">
        <v>182</v>
      </c>
      <c r="D4" s="3" t="s">
        <v>184</v>
      </c>
      <c r="E4" s="3" t="s">
        <v>185</v>
      </c>
      <c r="F4" s="2" t="s">
        <v>186</v>
      </c>
      <c r="G4" s="85" t="s">
        <v>270</v>
      </c>
      <c r="H4" s="43" t="s">
        <v>777</v>
      </c>
      <c r="I4" s="85" t="s">
        <v>271</v>
      </c>
      <c r="J4" s="43" t="s">
        <v>777</v>
      </c>
      <c r="K4" s="85" t="s">
        <v>272</v>
      </c>
      <c r="L4" s="43" t="s">
        <v>777</v>
      </c>
      <c r="M4" s="85" t="s">
        <v>273</v>
      </c>
      <c r="N4" s="43" t="s">
        <v>777</v>
      </c>
      <c r="O4" s="85" t="s">
        <v>11</v>
      </c>
      <c r="P4" s="43" t="s">
        <v>777</v>
      </c>
      <c r="Q4" s="85" t="s">
        <v>15</v>
      </c>
      <c r="R4" s="43" t="s">
        <v>777</v>
      </c>
    </row>
    <row r="5" spans="2:18" x14ac:dyDescent="0.2">
      <c r="B5" s="88" t="s">
        <v>187</v>
      </c>
      <c r="C5" s="88"/>
      <c r="D5" s="88"/>
      <c r="E5" s="88"/>
      <c r="F5" s="88"/>
      <c r="G5" s="88">
        <f>SUM(G6:G9)/8</f>
        <v>1</v>
      </c>
      <c r="H5" s="88"/>
      <c r="I5" s="88">
        <f>SUM(I6:I9)/8</f>
        <v>1</v>
      </c>
      <c r="J5" s="88"/>
      <c r="K5" s="88">
        <f>SUM(K6:K9)/8</f>
        <v>1</v>
      </c>
      <c r="L5" s="88"/>
      <c r="M5" s="88">
        <f>SUM(M6:M9)/8</f>
        <v>1</v>
      </c>
      <c r="N5" s="88"/>
      <c r="O5" s="88">
        <f>SUM(O6:O9)/8</f>
        <v>0.375</v>
      </c>
      <c r="P5" s="88"/>
      <c r="Q5" s="90"/>
      <c r="R5" s="88"/>
    </row>
    <row r="6" spans="2:18" x14ac:dyDescent="0.2">
      <c r="C6" t="s">
        <v>274</v>
      </c>
      <c r="D6" t="s">
        <v>275</v>
      </c>
      <c r="E6" t="s">
        <v>276</v>
      </c>
      <c r="F6" t="s">
        <v>277</v>
      </c>
      <c r="G6" s="5">
        <v>2</v>
      </c>
      <c r="H6">
        <v>23</v>
      </c>
      <c r="I6" s="5">
        <v>2</v>
      </c>
      <c r="J6">
        <v>21</v>
      </c>
      <c r="K6" s="5">
        <v>2</v>
      </c>
      <c r="L6">
        <v>15</v>
      </c>
      <c r="M6" s="5">
        <v>2</v>
      </c>
      <c r="N6">
        <v>25</v>
      </c>
      <c r="O6" s="5">
        <v>1</v>
      </c>
      <c r="P6">
        <v>1022</v>
      </c>
      <c r="Q6" s="5"/>
    </row>
    <row r="7" spans="2:18" x14ac:dyDescent="0.2">
      <c r="C7" t="s">
        <v>274</v>
      </c>
      <c r="D7" t="s">
        <v>278</v>
      </c>
      <c r="E7" t="s">
        <v>276</v>
      </c>
      <c r="F7" t="s">
        <v>277</v>
      </c>
      <c r="G7" s="5">
        <v>2</v>
      </c>
      <c r="H7">
        <v>35</v>
      </c>
      <c r="I7" s="5">
        <v>2</v>
      </c>
      <c r="J7">
        <v>31</v>
      </c>
      <c r="K7" s="5">
        <v>2</v>
      </c>
      <c r="L7">
        <v>23</v>
      </c>
      <c r="M7" s="5">
        <v>2</v>
      </c>
      <c r="N7">
        <v>32</v>
      </c>
      <c r="O7" s="5">
        <v>0</v>
      </c>
      <c r="Q7" s="5"/>
    </row>
    <row r="8" spans="2:18" x14ac:dyDescent="0.2">
      <c r="C8" t="s">
        <v>274</v>
      </c>
      <c r="D8" t="s">
        <v>279</v>
      </c>
      <c r="E8" t="s">
        <v>276</v>
      </c>
      <c r="F8" t="s">
        <v>280</v>
      </c>
      <c r="G8" s="5">
        <v>2</v>
      </c>
      <c r="H8">
        <v>13</v>
      </c>
      <c r="I8" s="5">
        <v>2</v>
      </c>
      <c r="J8">
        <v>41</v>
      </c>
      <c r="K8" s="5">
        <v>2</v>
      </c>
      <c r="L8">
        <v>31</v>
      </c>
      <c r="M8" s="5">
        <v>2</v>
      </c>
      <c r="N8">
        <v>39</v>
      </c>
      <c r="O8" s="5">
        <v>1</v>
      </c>
      <c r="P8">
        <v>195</v>
      </c>
      <c r="Q8" s="5"/>
    </row>
    <row r="9" spans="2:18" x14ac:dyDescent="0.2">
      <c r="C9" t="s">
        <v>274</v>
      </c>
      <c r="D9" t="s">
        <v>281</v>
      </c>
      <c r="E9" t="s">
        <v>276</v>
      </c>
      <c r="F9" t="s">
        <v>280</v>
      </c>
      <c r="G9" s="5">
        <v>2</v>
      </c>
      <c r="H9">
        <v>18</v>
      </c>
      <c r="I9" s="5">
        <v>2</v>
      </c>
      <c r="J9">
        <v>46</v>
      </c>
      <c r="K9" s="5">
        <v>2</v>
      </c>
      <c r="L9">
        <v>36</v>
      </c>
      <c r="M9" s="5">
        <v>2</v>
      </c>
      <c r="N9">
        <v>44</v>
      </c>
      <c r="O9" s="5">
        <v>1</v>
      </c>
      <c r="P9">
        <v>195</v>
      </c>
      <c r="Q9" s="5"/>
    </row>
    <row r="10" spans="2:18" x14ac:dyDescent="0.2">
      <c r="B10" s="88" t="s">
        <v>194</v>
      </c>
      <c r="C10" s="88"/>
      <c r="D10" s="88"/>
      <c r="E10" s="88"/>
      <c r="F10" s="88"/>
      <c r="G10" s="88">
        <f>SUM(G11:G14)/8</f>
        <v>1</v>
      </c>
      <c r="H10" s="88"/>
      <c r="I10" s="88">
        <f>SUM(I11:I14)/8</f>
        <v>1</v>
      </c>
      <c r="J10" s="88"/>
      <c r="K10" s="88">
        <f>SUM(K11:K14)/8</f>
        <v>1</v>
      </c>
      <c r="L10" s="88"/>
      <c r="M10" s="88">
        <f>SUM(M11:M14)/8</f>
        <v>1</v>
      </c>
      <c r="N10" s="88"/>
      <c r="O10" s="88">
        <f>SUM(O11:O14)/8</f>
        <v>0.75</v>
      </c>
      <c r="P10" s="88"/>
      <c r="Q10" s="90"/>
      <c r="R10" s="88"/>
    </row>
    <row r="11" spans="2:18" x14ac:dyDescent="0.2">
      <c r="C11" t="s">
        <v>291</v>
      </c>
      <c r="D11" t="s">
        <v>292</v>
      </c>
      <c r="E11" t="s">
        <v>293</v>
      </c>
      <c r="F11" t="b">
        <v>1</v>
      </c>
      <c r="G11" s="5">
        <v>2</v>
      </c>
      <c r="H11">
        <v>111</v>
      </c>
      <c r="I11" s="5">
        <v>2</v>
      </c>
      <c r="J11">
        <v>85</v>
      </c>
      <c r="K11" s="5">
        <v>2</v>
      </c>
      <c r="L11">
        <v>93</v>
      </c>
      <c r="M11" s="5">
        <v>2</v>
      </c>
      <c r="N11">
        <v>75</v>
      </c>
      <c r="O11" s="5">
        <v>1</v>
      </c>
      <c r="P11">
        <v>764</v>
      </c>
      <c r="Q11" s="5"/>
    </row>
    <row r="12" spans="2:18" x14ac:dyDescent="0.2">
      <c r="C12" t="s">
        <v>291</v>
      </c>
      <c r="D12" t="s">
        <v>292</v>
      </c>
      <c r="E12" t="s">
        <v>294</v>
      </c>
      <c r="F12" t="b">
        <v>1</v>
      </c>
      <c r="G12" s="5">
        <v>2</v>
      </c>
      <c r="H12">
        <v>111</v>
      </c>
      <c r="I12" s="5">
        <v>2</v>
      </c>
      <c r="J12">
        <v>85</v>
      </c>
      <c r="K12" s="5">
        <v>2</v>
      </c>
      <c r="L12">
        <v>99</v>
      </c>
      <c r="M12" s="5">
        <v>2</v>
      </c>
      <c r="N12">
        <v>81</v>
      </c>
      <c r="O12" s="5">
        <v>1</v>
      </c>
      <c r="P12">
        <v>764</v>
      </c>
      <c r="Q12" s="5"/>
    </row>
    <row r="13" spans="2:18" x14ac:dyDescent="0.2">
      <c r="C13" t="s">
        <v>291</v>
      </c>
      <c r="D13" t="s">
        <v>292</v>
      </c>
      <c r="E13" t="s">
        <v>296</v>
      </c>
      <c r="F13" t="b">
        <v>0</v>
      </c>
      <c r="G13" s="5">
        <v>2</v>
      </c>
      <c r="H13">
        <v>111</v>
      </c>
      <c r="I13" s="5">
        <v>2</v>
      </c>
      <c r="J13">
        <v>85</v>
      </c>
      <c r="K13" s="5">
        <v>2</v>
      </c>
      <c r="L13">
        <v>111</v>
      </c>
      <c r="M13" s="5">
        <v>2</v>
      </c>
      <c r="N13">
        <v>93</v>
      </c>
      <c r="O13" s="5">
        <v>2</v>
      </c>
      <c r="P13">
        <v>774</v>
      </c>
      <c r="Q13" s="5"/>
    </row>
    <row r="14" spans="2:18" x14ac:dyDescent="0.2">
      <c r="C14" t="s">
        <v>291</v>
      </c>
      <c r="D14" t="s">
        <v>292</v>
      </c>
      <c r="E14" t="s">
        <v>295</v>
      </c>
      <c r="F14" t="b">
        <v>0</v>
      </c>
      <c r="G14" s="5">
        <v>2</v>
      </c>
      <c r="H14">
        <v>105</v>
      </c>
      <c r="I14" s="5">
        <v>2</v>
      </c>
      <c r="J14">
        <v>85</v>
      </c>
      <c r="K14" s="5">
        <v>2</v>
      </c>
      <c r="L14">
        <v>105</v>
      </c>
      <c r="M14" s="5">
        <v>2</v>
      </c>
      <c r="N14">
        <v>87</v>
      </c>
      <c r="O14" s="5">
        <v>2</v>
      </c>
      <c r="P14">
        <v>1049</v>
      </c>
      <c r="Q14" s="5"/>
    </row>
    <row r="15" spans="2:18" x14ac:dyDescent="0.2">
      <c r="G15" s="5"/>
      <c r="I15" s="5"/>
      <c r="K15" s="5"/>
      <c r="M15" s="5"/>
      <c r="O15" s="5"/>
      <c r="Q15" s="5"/>
    </row>
    <row r="16" spans="2:18" x14ac:dyDescent="0.2">
      <c r="B16" s="88" t="s">
        <v>210</v>
      </c>
      <c r="C16" s="88"/>
      <c r="D16" s="88"/>
      <c r="E16" s="88"/>
      <c r="F16" s="88"/>
      <c r="G16" s="88">
        <f>SUM(G17:G20)/8</f>
        <v>1</v>
      </c>
      <c r="H16" s="88"/>
      <c r="I16" s="88">
        <f>SUM(I17:I20)/8</f>
        <v>1</v>
      </c>
      <c r="J16" s="88"/>
      <c r="K16" s="88">
        <f>SUM(K17:K20)/8</f>
        <v>1</v>
      </c>
      <c r="L16" s="88"/>
      <c r="M16" s="88">
        <f>SUM(M17:M20)/8</f>
        <v>1</v>
      </c>
      <c r="N16" s="88"/>
      <c r="O16" s="88">
        <f>SUM(O17:O20)/8</f>
        <v>0.75</v>
      </c>
      <c r="P16" s="88"/>
      <c r="Q16" s="90"/>
      <c r="R16" s="88"/>
    </row>
    <row r="17" spans="2:18" x14ac:dyDescent="0.2">
      <c r="C17" t="s">
        <v>297</v>
      </c>
      <c r="D17" t="s">
        <v>298</v>
      </c>
      <c r="E17" t="s">
        <v>299</v>
      </c>
      <c r="F17">
        <v>-1</v>
      </c>
      <c r="G17" s="5">
        <v>2</v>
      </c>
      <c r="H17">
        <v>143</v>
      </c>
      <c r="I17" s="5">
        <v>2</v>
      </c>
      <c r="J17">
        <v>172</v>
      </c>
      <c r="K17" s="5">
        <v>2</v>
      </c>
      <c r="L17">
        <v>125</v>
      </c>
      <c r="M17" s="5">
        <v>2</v>
      </c>
      <c r="N17">
        <v>101</v>
      </c>
      <c r="O17" s="5">
        <v>2</v>
      </c>
      <c r="P17">
        <v>997</v>
      </c>
      <c r="Q17" s="5"/>
    </row>
    <row r="18" spans="2:18" x14ac:dyDescent="0.2">
      <c r="C18" t="s">
        <v>297</v>
      </c>
      <c r="D18" t="s">
        <v>298</v>
      </c>
      <c r="E18" t="s">
        <v>300</v>
      </c>
      <c r="F18">
        <v>0</v>
      </c>
      <c r="G18" s="5">
        <v>2</v>
      </c>
      <c r="H18">
        <v>143</v>
      </c>
      <c r="I18" s="5">
        <v>2</v>
      </c>
      <c r="J18">
        <v>172</v>
      </c>
      <c r="K18" s="5">
        <v>2</v>
      </c>
      <c r="L18">
        <v>131</v>
      </c>
      <c r="M18" s="5">
        <v>2</v>
      </c>
      <c r="N18">
        <v>101</v>
      </c>
      <c r="O18" s="5">
        <v>1</v>
      </c>
      <c r="P18">
        <v>1006</v>
      </c>
      <c r="Q18" s="5"/>
    </row>
    <row r="19" spans="2:18" x14ac:dyDescent="0.2">
      <c r="C19" t="s">
        <v>297</v>
      </c>
      <c r="D19" t="s">
        <v>298</v>
      </c>
      <c r="E19" t="s">
        <v>302</v>
      </c>
      <c r="F19">
        <v>0</v>
      </c>
      <c r="G19" s="5">
        <v>2</v>
      </c>
      <c r="H19">
        <v>143</v>
      </c>
      <c r="I19" s="5">
        <v>2</v>
      </c>
      <c r="J19">
        <v>172</v>
      </c>
      <c r="K19" s="5">
        <v>2</v>
      </c>
      <c r="L19">
        <v>137</v>
      </c>
      <c r="M19" s="5">
        <v>2</v>
      </c>
      <c r="N19">
        <v>101</v>
      </c>
      <c r="O19" s="5">
        <v>1</v>
      </c>
      <c r="P19">
        <v>1006</v>
      </c>
      <c r="Q19" s="5"/>
    </row>
    <row r="20" spans="2:18" x14ac:dyDescent="0.2">
      <c r="C20" t="s">
        <v>297</v>
      </c>
      <c r="D20" t="s">
        <v>298</v>
      </c>
      <c r="E20" t="s">
        <v>303</v>
      </c>
      <c r="F20">
        <v>1</v>
      </c>
      <c r="G20" s="5">
        <v>2</v>
      </c>
      <c r="H20">
        <v>143</v>
      </c>
      <c r="I20" s="5">
        <v>2</v>
      </c>
      <c r="J20">
        <v>172</v>
      </c>
      <c r="K20" s="5">
        <v>2</v>
      </c>
      <c r="L20">
        <v>144</v>
      </c>
      <c r="M20" s="5">
        <v>2</v>
      </c>
      <c r="N20">
        <v>101</v>
      </c>
      <c r="O20" s="5">
        <v>2</v>
      </c>
      <c r="P20">
        <v>988</v>
      </c>
      <c r="Q20" s="5"/>
    </row>
    <row r="21" spans="2:18" x14ac:dyDescent="0.2">
      <c r="B21" s="88" t="s">
        <v>219</v>
      </c>
      <c r="C21" s="88"/>
      <c r="D21" s="88"/>
      <c r="E21" s="88"/>
      <c r="F21" s="88"/>
      <c r="G21" s="88">
        <f>SUM(G22:G26)/6</f>
        <v>1</v>
      </c>
      <c r="H21" s="88"/>
      <c r="I21" s="88">
        <f>SUM(I22:I26)/6</f>
        <v>1</v>
      </c>
      <c r="J21" s="88"/>
      <c r="K21" s="88">
        <f>SUM(K22:K26)/6</f>
        <v>1</v>
      </c>
      <c r="L21" s="88"/>
      <c r="M21" s="88">
        <f>SUM(M22:M26)/6</f>
        <v>1</v>
      </c>
      <c r="N21" s="88"/>
      <c r="O21" s="88">
        <f>SUM(O22:O26)/6</f>
        <v>0.16666666666666666</v>
      </c>
      <c r="P21" s="88"/>
      <c r="Q21" s="90"/>
      <c r="R21" s="88"/>
    </row>
    <row r="22" spans="2:18" x14ac:dyDescent="0.2">
      <c r="C22" t="s">
        <v>304</v>
      </c>
      <c r="D22" t="s">
        <v>298</v>
      </c>
      <c r="E22" t="s">
        <v>305</v>
      </c>
      <c r="F22">
        <v>16</v>
      </c>
      <c r="G22" s="5">
        <v>2</v>
      </c>
      <c r="H22">
        <v>159</v>
      </c>
      <c r="I22" s="5">
        <v>2</v>
      </c>
      <c r="J22">
        <v>188</v>
      </c>
      <c r="K22" s="5">
        <v>2</v>
      </c>
      <c r="L22">
        <v>158</v>
      </c>
      <c r="M22" s="5">
        <v>2</v>
      </c>
      <c r="N22">
        <v>117</v>
      </c>
      <c r="O22" s="5">
        <v>0</v>
      </c>
      <c r="Q22" s="5"/>
    </row>
    <row r="23" spans="2:18" x14ac:dyDescent="0.2">
      <c r="G23" s="5"/>
      <c r="I23" s="5"/>
      <c r="K23" s="5"/>
      <c r="M23" s="5"/>
      <c r="O23" s="5"/>
      <c r="Q23" s="5"/>
    </row>
    <row r="24" spans="2:18" x14ac:dyDescent="0.2">
      <c r="C24" t="s">
        <v>304</v>
      </c>
      <c r="D24" t="s">
        <v>298</v>
      </c>
      <c r="E24" t="s">
        <v>310</v>
      </c>
      <c r="F24">
        <v>63</v>
      </c>
      <c r="G24" s="5">
        <v>2</v>
      </c>
      <c r="H24">
        <v>159</v>
      </c>
      <c r="I24" s="5">
        <v>2</v>
      </c>
      <c r="J24">
        <v>188</v>
      </c>
      <c r="K24" s="5">
        <v>2</v>
      </c>
      <c r="L24">
        <v>167</v>
      </c>
      <c r="M24" s="5">
        <v>2</v>
      </c>
      <c r="N24">
        <v>117</v>
      </c>
      <c r="O24" s="5">
        <v>1</v>
      </c>
      <c r="P24">
        <v>959</v>
      </c>
      <c r="Q24" s="5"/>
    </row>
    <row r="25" spans="2:18" x14ac:dyDescent="0.2">
      <c r="G25" s="5"/>
      <c r="I25" s="5"/>
      <c r="K25" s="5"/>
      <c r="M25" s="5"/>
      <c r="O25" s="5"/>
      <c r="Q25" s="5"/>
    </row>
    <row r="26" spans="2:18" x14ac:dyDescent="0.2">
      <c r="C26" t="s">
        <v>304</v>
      </c>
      <c r="D26" t="s">
        <v>298</v>
      </c>
      <c r="E26" t="s">
        <v>312</v>
      </c>
      <c r="F26">
        <v>64</v>
      </c>
      <c r="G26" s="5">
        <v>2</v>
      </c>
      <c r="H26">
        <v>159</v>
      </c>
      <c r="I26" s="5">
        <v>2</v>
      </c>
      <c r="J26">
        <v>188</v>
      </c>
      <c r="K26" s="5">
        <v>2</v>
      </c>
      <c r="L26">
        <v>175</v>
      </c>
      <c r="M26" s="5">
        <v>2</v>
      </c>
      <c r="N26">
        <v>117</v>
      </c>
      <c r="O26" s="5">
        <v>0</v>
      </c>
      <c r="Q26" s="5"/>
    </row>
    <row r="27" spans="2:18" x14ac:dyDescent="0.2">
      <c r="B27" s="88" t="s">
        <v>223</v>
      </c>
      <c r="C27" s="88"/>
      <c r="D27" s="88"/>
      <c r="E27" s="88"/>
      <c r="F27" s="88"/>
      <c r="G27" s="88">
        <f>SUM(G28:G29)/4</f>
        <v>1</v>
      </c>
      <c r="H27" s="88"/>
      <c r="I27" s="88">
        <f>SUM(I28:I29)/4</f>
        <v>1</v>
      </c>
      <c r="J27" s="88"/>
      <c r="K27" s="88">
        <f>SUM(K28:K29)/4</f>
        <v>1</v>
      </c>
      <c r="L27" s="88"/>
      <c r="M27" s="88">
        <f>SUM(M28:M29)/4</f>
        <v>1</v>
      </c>
      <c r="N27" s="88"/>
      <c r="O27" s="88">
        <f>SUM(O28:O29)/4</f>
        <v>0</v>
      </c>
      <c r="P27" s="88"/>
      <c r="Q27" s="90"/>
      <c r="R27" s="88"/>
    </row>
    <row r="28" spans="2:18" x14ac:dyDescent="0.2">
      <c r="C28" t="s">
        <v>313</v>
      </c>
      <c r="D28" t="s">
        <v>298</v>
      </c>
      <c r="E28" t="s">
        <v>313</v>
      </c>
      <c r="F28">
        <v>16</v>
      </c>
      <c r="G28" s="5">
        <v>2</v>
      </c>
      <c r="H28">
        <v>23</v>
      </c>
      <c r="I28" s="5">
        <v>2</v>
      </c>
      <c r="J28">
        <v>21</v>
      </c>
      <c r="K28" s="5">
        <v>2</v>
      </c>
      <c r="L28">
        <v>189</v>
      </c>
      <c r="M28" s="5">
        <v>2</v>
      </c>
      <c r="N28">
        <v>136</v>
      </c>
      <c r="O28" s="5">
        <v>0</v>
      </c>
      <c r="Q28" s="5"/>
    </row>
    <row r="29" spans="2:18" x14ac:dyDescent="0.2">
      <c r="C29" t="s">
        <v>314</v>
      </c>
      <c r="D29" t="s">
        <v>298</v>
      </c>
      <c r="E29" t="s">
        <v>314</v>
      </c>
      <c r="F29">
        <v>64</v>
      </c>
      <c r="G29" s="5">
        <v>2</v>
      </c>
      <c r="H29">
        <v>23</v>
      </c>
      <c r="I29" s="5">
        <v>2</v>
      </c>
      <c r="J29">
        <v>21</v>
      </c>
      <c r="K29" s="5">
        <v>2</v>
      </c>
      <c r="L29">
        <v>195</v>
      </c>
      <c r="M29" s="5">
        <v>2</v>
      </c>
      <c r="N29">
        <v>136</v>
      </c>
      <c r="O29" s="5">
        <v>0</v>
      </c>
      <c r="Q29" s="5"/>
    </row>
    <row r="30" spans="2:18" x14ac:dyDescent="0.2">
      <c r="B30" s="88" t="s">
        <v>244</v>
      </c>
      <c r="C30" s="88"/>
      <c r="D30" s="88"/>
      <c r="E30" s="88"/>
      <c r="F30" s="88"/>
      <c r="G30" s="88">
        <f>SUM(G31:G32)/4</f>
        <v>1</v>
      </c>
      <c r="H30" s="88"/>
      <c r="I30" s="88">
        <f>SUM(I31:I32)/4</f>
        <v>1</v>
      </c>
      <c r="J30" s="88"/>
      <c r="K30" s="88">
        <f>SUM(K31:K32)/4</f>
        <v>1</v>
      </c>
      <c r="L30" s="88"/>
      <c r="M30" s="88">
        <f>SUM(M31:M32)/4</f>
        <v>1</v>
      </c>
      <c r="N30" s="88"/>
      <c r="O30" s="88">
        <f>SUM(O31:O32)/4</f>
        <v>0.5</v>
      </c>
      <c r="P30" s="88"/>
      <c r="Q30" s="90"/>
      <c r="R30" s="88"/>
    </row>
    <row r="31" spans="2:18" x14ac:dyDescent="0.2">
      <c r="C31" t="s">
        <v>315</v>
      </c>
      <c r="D31" t="s">
        <v>316</v>
      </c>
      <c r="E31" t="s">
        <v>317</v>
      </c>
      <c r="F31" t="s">
        <v>318</v>
      </c>
      <c r="G31" s="5">
        <v>2</v>
      </c>
      <c r="H31">
        <v>242</v>
      </c>
      <c r="I31" s="5">
        <v>2</v>
      </c>
      <c r="J31">
        <v>202</v>
      </c>
      <c r="K31" s="5">
        <v>2</v>
      </c>
      <c r="L31">
        <v>203</v>
      </c>
      <c r="M31" s="5">
        <v>2</v>
      </c>
      <c r="N31">
        <v>144</v>
      </c>
      <c r="O31" s="5">
        <v>1</v>
      </c>
      <c r="P31">
        <v>921</v>
      </c>
      <c r="Q31" s="5"/>
    </row>
    <row r="32" spans="2:18" x14ac:dyDescent="0.2">
      <c r="C32" t="s">
        <v>315</v>
      </c>
      <c r="D32" t="s">
        <v>319</v>
      </c>
      <c r="E32" t="s">
        <v>317</v>
      </c>
      <c r="F32" t="s">
        <v>54</v>
      </c>
      <c r="G32" s="5">
        <v>2</v>
      </c>
      <c r="H32">
        <v>261</v>
      </c>
      <c r="I32" s="5">
        <v>2</v>
      </c>
      <c r="J32">
        <v>214</v>
      </c>
      <c r="K32" s="5">
        <v>2</v>
      </c>
      <c r="L32">
        <v>215</v>
      </c>
      <c r="M32" s="5">
        <v>2</v>
      </c>
      <c r="N32">
        <v>160</v>
      </c>
      <c r="O32" s="5">
        <v>1</v>
      </c>
      <c r="P32">
        <v>810</v>
      </c>
      <c r="Q32" s="5"/>
    </row>
    <row r="33" spans="2:18" x14ac:dyDescent="0.2">
      <c r="B33" s="88" t="s">
        <v>255</v>
      </c>
      <c r="C33" s="88"/>
      <c r="D33" s="88"/>
      <c r="E33" s="88"/>
      <c r="F33" s="88"/>
      <c r="G33" s="88">
        <f>SUM(G34:G41)/16</f>
        <v>1</v>
      </c>
      <c r="H33" s="88"/>
      <c r="I33" s="88">
        <f>SUM(I34:I41)/16</f>
        <v>1</v>
      </c>
      <c r="J33" s="88"/>
      <c r="K33" s="88">
        <f>SUM(K34:K41)/16</f>
        <v>1</v>
      </c>
      <c r="L33" s="88"/>
      <c r="M33" s="88">
        <f>SUM(M34:M41)/16</f>
        <v>1</v>
      </c>
      <c r="N33" s="88"/>
      <c r="O33" s="88">
        <f>SUM(O34:O41)/16</f>
        <v>0.4375</v>
      </c>
      <c r="P33" s="88"/>
      <c r="Q33" s="90"/>
      <c r="R33" s="88"/>
    </row>
    <row r="34" spans="2:18" x14ac:dyDescent="0.2">
      <c r="C34" t="s">
        <v>320</v>
      </c>
      <c r="D34" t="s">
        <v>321</v>
      </c>
      <c r="E34" t="s">
        <v>322</v>
      </c>
      <c r="F34" t="b">
        <v>0</v>
      </c>
      <c r="G34" s="5">
        <v>2</v>
      </c>
      <c r="H34">
        <v>171</v>
      </c>
      <c r="I34" s="5">
        <v>2</v>
      </c>
      <c r="J34">
        <v>97</v>
      </c>
      <c r="K34" s="5">
        <v>2</v>
      </c>
      <c r="L34">
        <v>249</v>
      </c>
      <c r="M34" s="5">
        <v>2</v>
      </c>
      <c r="N34">
        <v>169</v>
      </c>
      <c r="O34" s="5">
        <v>2</v>
      </c>
      <c r="P34">
        <v>910</v>
      </c>
      <c r="Q34" s="5"/>
    </row>
    <row r="35" spans="2:18" x14ac:dyDescent="0.2">
      <c r="C35" t="s">
        <v>320</v>
      </c>
      <c r="D35" t="s">
        <v>321</v>
      </c>
      <c r="E35" t="s">
        <v>323</v>
      </c>
      <c r="F35" t="b">
        <v>1</v>
      </c>
      <c r="G35" s="5">
        <v>2</v>
      </c>
      <c r="H35">
        <v>171</v>
      </c>
      <c r="I35" s="5">
        <v>2</v>
      </c>
      <c r="J35">
        <v>97</v>
      </c>
      <c r="K35" s="5">
        <v>2</v>
      </c>
      <c r="L35">
        <v>255</v>
      </c>
      <c r="M35" s="5">
        <v>2</v>
      </c>
      <c r="N35">
        <v>169</v>
      </c>
      <c r="O35" s="5">
        <v>1</v>
      </c>
      <c r="P35">
        <v>685</v>
      </c>
      <c r="Q35" s="5"/>
    </row>
    <row r="36" spans="2:18" x14ac:dyDescent="0.2">
      <c r="C36" t="s">
        <v>320</v>
      </c>
      <c r="D36" t="s">
        <v>321</v>
      </c>
      <c r="E36" t="s">
        <v>325</v>
      </c>
      <c r="F36" t="b">
        <v>0</v>
      </c>
      <c r="G36" s="5">
        <v>2</v>
      </c>
      <c r="H36">
        <v>171</v>
      </c>
      <c r="I36" s="5">
        <v>2</v>
      </c>
      <c r="J36">
        <v>97</v>
      </c>
      <c r="K36" s="5">
        <v>2</v>
      </c>
      <c r="L36">
        <v>261</v>
      </c>
      <c r="M36" s="5">
        <v>2</v>
      </c>
      <c r="N36">
        <v>169</v>
      </c>
      <c r="O36" s="5">
        <v>1</v>
      </c>
      <c r="P36">
        <v>701</v>
      </c>
      <c r="Q36" s="5"/>
    </row>
    <row r="37" spans="2:18" x14ac:dyDescent="0.2">
      <c r="C37" t="s">
        <v>320</v>
      </c>
      <c r="D37" t="s">
        <v>321</v>
      </c>
      <c r="E37" t="s">
        <v>327</v>
      </c>
      <c r="F37" t="b">
        <v>0</v>
      </c>
      <c r="G37" s="5">
        <v>2</v>
      </c>
      <c r="H37">
        <v>171</v>
      </c>
      <c r="I37" s="5">
        <v>2</v>
      </c>
      <c r="J37">
        <v>97</v>
      </c>
      <c r="K37" s="5">
        <v>2</v>
      </c>
      <c r="L37">
        <v>261</v>
      </c>
      <c r="M37" s="5">
        <v>2</v>
      </c>
      <c r="N37">
        <v>169</v>
      </c>
      <c r="O37" s="5">
        <v>0</v>
      </c>
      <c r="Q37" s="5"/>
    </row>
    <row r="38" spans="2:18" x14ac:dyDescent="0.2">
      <c r="C38" t="s">
        <v>328</v>
      </c>
      <c r="D38" t="s">
        <v>321</v>
      </c>
      <c r="E38" t="s">
        <v>329</v>
      </c>
      <c r="F38" t="b">
        <v>0</v>
      </c>
      <c r="G38" s="5">
        <v>2</v>
      </c>
      <c r="H38">
        <v>171</v>
      </c>
      <c r="I38" s="5">
        <v>2</v>
      </c>
      <c r="J38">
        <v>107</v>
      </c>
      <c r="K38" s="5">
        <v>2</v>
      </c>
      <c r="L38">
        <v>270</v>
      </c>
      <c r="M38" s="5">
        <v>2</v>
      </c>
      <c r="N38">
        <v>179</v>
      </c>
      <c r="O38" s="5">
        <v>2</v>
      </c>
      <c r="P38">
        <v>881</v>
      </c>
      <c r="Q38" s="5"/>
    </row>
    <row r="39" spans="2:18" x14ac:dyDescent="0.2">
      <c r="C39" t="s">
        <v>328</v>
      </c>
      <c r="D39" t="s">
        <v>321</v>
      </c>
      <c r="E39" t="s">
        <v>330</v>
      </c>
      <c r="F39" t="b">
        <v>0</v>
      </c>
      <c r="G39" s="5">
        <v>2</v>
      </c>
      <c r="H39">
        <v>171</v>
      </c>
      <c r="I39" s="5">
        <v>2</v>
      </c>
      <c r="J39">
        <v>107</v>
      </c>
      <c r="K39" s="5">
        <v>2</v>
      </c>
      <c r="L39">
        <v>282</v>
      </c>
      <c r="M39" s="5">
        <v>2</v>
      </c>
      <c r="N39">
        <v>179</v>
      </c>
      <c r="O39" s="5">
        <v>0</v>
      </c>
      <c r="Q39" s="5"/>
    </row>
    <row r="40" spans="2:18" x14ac:dyDescent="0.2">
      <c r="C40" t="s">
        <v>328</v>
      </c>
      <c r="D40" t="s">
        <v>321</v>
      </c>
      <c r="E40" t="s">
        <v>332</v>
      </c>
      <c r="F40" t="b">
        <v>0</v>
      </c>
      <c r="G40" s="5">
        <v>2</v>
      </c>
      <c r="H40">
        <v>171</v>
      </c>
      <c r="I40" s="5">
        <v>2</v>
      </c>
      <c r="J40">
        <v>107</v>
      </c>
      <c r="K40" s="5">
        <v>2</v>
      </c>
      <c r="L40">
        <v>282</v>
      </c>
      <c r="M40" s="5">
        <v>2</v>
      </c>
      <c r="N40">
        <v>179</v>
      </c>
      <c r="O40" s="5">
        <v>1</v>
      </c>
      <c r="P40">
        <v>46</v>
      </c>
      <c r="Q40" s="5"/>
    </row>
    <row r="41" spans="2:18" x14ac:dyDescent="0.2">
      <c r="C41" t="s">
        <v>328</v>
      </c>
      <c r="D41" t="s">
        <v>321</v>
      </c>
      <c r="E41" t="s">
        <v>334</v>
      </c>
      <c r="F41" t="b">
        <v>1</v>
      </c>
      <c r="G41" s="5">
        <v>2</v>
      </c>
      <c r="H41">
        <v>171</v>
      </c>
      <c r="I41" s="5">
        <v>2</v>
      </c>
      <c r="J41">
        <v>107</v>
      </c>
      <c r="K41" s="5">
        <v>2</v>
      </c>
      <c r="L41">
        <v>276</v>
      </c>
      <c r="M41" s="5">
        <v>2</v>
      </c>
      <c r="N41">
        <v>179</v>
      </c>
      <c r="O41" s="5">
        <v>0</v>
      </c>
      <c r="Q41" s="5"/>
    </row>
    <row r="42" spans="2:18" x14ac:dyDescent="0.2">
      <c r="B42" s="88" t="s">
        <v>265</v>
      </c>
      <c r="C42" s="88"/>
      <c r="D42" s="88"/>
      <c r="E42" s="88"/>
      <c r="F42" s="88"/>
      <c r="G42" s="88">
        <f>SUM(G43:G48)/12</f>
        <v>0.66666666666666663</v>
      </c>
      <c r="H42" s="88"/>
      <c r="I42" s="88">
        <f>SUM(I43:I48)/12</f>
        <v>0.66666666666666663</v>
      </c>
      <c r="J42" s="88"/>
      <c r="K42" s="88">
        <f>SUM(K43:K48)/12</f>
        <v>1</v>
      </c>
      <c r="L42" s="88"/>
      <c r="M42" s="88">
        <f>SUM(M43:M48)/12</f>
        <v>1</v>
      </c>
      <c r="N42" s="88"/>
      <c r="O42" s="88">
        <f>SUM(O43:O48)/12</f>
        <v>0.25</v>
      </c>
      <c r="P42" s="88"/>
      <c r="Q42" s="90"/>
      <c r="R42" s="88"/>
    </row>
    <row r="43" spans="2:18" x14ac:dyDescent="0.2">
      <c r="C43" t="s">
        <v>335</v>
      </c>
      <c r="D43" t="s">
        <v>321</v>
      </c>
      <c r="E43" t="s">
        <v>337</v>
      </c>
      <c r="F43" t="b">
        <v>1</v>
      </c>
      <c r="G43" s="5">
        <v>2</v>
      </c>
      <c r="H43">
        <v>195</v>
      </c>
      <c r="I43" s="5">
        <v>2</v>
      </c>
      <c r="J43">
        <v>157</v>
      </c>
      <c r="K43" s="5">
        <v>2</v>
      </c>
      <c r="L43">
        <v>299</v>
      </c>
      <c r="M43" s="5">
        <v>2</v>
      </c>
      <c r="N43">
        <v>191</v>
      </c>
      <c r="O43" s="5">
        <v>1</v>
      </c>
      <c r="P43">
        <v>685</v>
      </c>
      <c r="Q43" s="5"/>
    </row>
    <row r="44" spans="2:18" x14ac:dyDescent="0.2">
      <c r="C44" t="s">
        <v>335</v>
      </c>
      <c r="D44" t="s">
        <v>321</v>
      </c>
      <c r="E44" t="s">
        <v>339</v>
      </c>
      <c r="F44" t="b">
        <v>0</v>
      </c>
      <c r="G44" s="5">
        <v>0</v>
      </c>
      <c r="I44" s="5">
        <v>2</v>
      </c>
      <c r="J44">
        <v>157</v>
      </c>
      <c r="K44" s="5">
        <v>2</v>
      </c>
      <c r="L44">
        <v>305</v>
      </c>
      <c r="M44" s="5">
        <v>2</v>
      </c>
      <c r="N44">
        <v>191</v>
      </c>
      <c r="O44" s="5">
        <v>1</v>
      </c>
      <c r="P44">
        <v>897</v>
      </c>
      <c r="Q44" s="5"/>
    </row>
    <row r="45" spans="2:18" x14ac:dyDescent="0.2">
      <c r="C45" t="s">
        <v>335</v>
      </c>
      <c r="D45" t="s">
        <v>321</v>
      </c>
      <c r="E45" t="s">
        <v>342</v>
      </c>
      <c r="F45" t="b">
        <v>0</v>
      </c>
      <c r="G45" s="5">
        <v>2</v>
      </c>
      <c r="H45">
        <v>195</v>
      </c>
      <c r="I45" s="5">
        <v>0</v>
      </c>
      <c r="K45" s="5">
        <v>2</v>
      </c>
      <c r="L45">
        <v>305</v>
      </c>
      <c r="M45" s="5">
        <v>2</v>
      </c>
      <c r="N45">
        <v>191</v>
      </c>
      <c r="O45" s="5">
        <v>0</v>
      </c>
      <c r="Q45" s="5"/>
    </row>
    <row r="46" spans="2:18" x14ac:dyDescent="0.2">
      <c r="C46" t="s">
        <v>344</v>
      </c>
      <c r="D46" t="s">
        <v>321</v>
      </c>
      <c r="E46" t="s">
        <v>346</v>
      </c>
      <c r="F46" t="b">
        <v>0</v>
      </c>
      <c r="G46" s="5">
        <v>2</v>
      </c>
      <c r="H46">
        <v>195</v>
      </c>
      <c r="I46" s="5">
        <v>0</v>
      </c>
      <c r="K46" s="5">
        <v>2</v>
      </c>
      <c r="L46">
        <v>328</v>
      </c>
      <c r="M46" s="5">
        <v>2</v>
      </c>
      <c r="N46">
        <v>203</v>
      </c>
      <c r="O46" s="5">
        <v>0</v>
      </c>
      <c r="Q46" s="5"/>
    </row>
    <row r="47" spans="2:18" x14ac:dyDescent="0.2">
      <c r="C47" t="s">
        <v>344</v>
      </c>
      <c r="D47" t="s">
        <v>321</v>
      </c>
      <c r="E47" t="s">
        <v>348</v>
      </c>
      <c r="F47" t="b">
        <v>0</v>
      </c>
      <c r="G47" s="5">
        <v>0</v>
      </c>
      <c r="I47" s="5">
        <v>2</v>
      </c>
      <c r="J47">
        <v>157</v>
      </c>
      <c r="K47" s="5">
        <v>2</v>
      </c>
      <c r="L47">
        <v>328</v>
      </c>
      <c r="M47" s="5">
        <v>2</v>
      </c>
      <c r="N47">
        <v>203</v>
      </c>
      <c r="O47" s="5">
        <v>0</v>
      </c>
      <c r="Q47" s="5"/>
    </row>
    <row r="48" spans="2:18" x14ac:dyDescent="0.2">
      <c r="C48" t="s">
        <v>344</v>
      </c>
      <c r="D48" t="s">
        <v>321</v>
      </c>
      <c r="E48" t="s">
        <v>351</v>
      </c>
      <c r="F48" t="b">
        <v>1</v>
      </c>
      <c r="G48" s="5">
        <v>2</v>
      </c>
      <c r="H48">
        <v>195</v>
      </c>
      <c r="I48" s="5">
        <v>2</v>
      </c>
      <c r="J48">
        <v>157</v>
      </c>
      <c r="K48" s="5">
        <v>2</v>
      </c>
      <c r="L48">
        <v>322</v>
      </c>
      <c r="M48" s="5">
        <v>2</v>
      </c>
      <c r="N48">
        <v>203</v>
      </c>
      <c r="O48" s="5">
        <v>1</v>
      </c>
      <c r="P48">
        <v>870</v>
      </c>
      <c r="Q48" s="5"/>
    </row>
    <row r="49" spans="2:18" x14ac:dyDescent="0.2">
      <c r="B49" s="88" t="s">
        <v>353</v>
      </c>
      <c r="C49" s="88"/>
      <c r="D49" s="88"/>
      <c r="E49" s="88"/>
      <c r="F49" s="88"/>
      <c r="G49" s="88">
        <f>SUM(G50:G55)/12</f>
        <v>1</v>
      </c>
      <c r="H49" s="88"/>
      <c r="I49" s="88">
        <f>SUM(I50:I55)/12</f>
        <v>1</v>
      </c>
      <c r="J49" s="88"/>
      <c r="K49" s="88">
        <f>SUM(K50:K55)/12</f>
        <v>1</v>
      </c>
      <c r="L49" s="88"/>
      <c r="M49" s="88">
        <f>SUM(M50:M55)/12</f>
        <v>1</v>
      </c>
      <c r="N49" s="88"/>
      <c r="O49" s="88">
        <f>SUM(O50:O55)/12</f>
        <v>0.75</v>
      </c>
      <c r="P49" s="88"/>
      <c r="Q49" s="90"/>
      <c r="R49" s="88"/>
    </row>
    <row r="50" spans="2:18" x14ac:dyDescent="0.2">
      <c r="C50" t="s">
        <v>354</v>
      </c>
      <c r="D50" t="s">
        <v>321</v>
      </c>
      <c r="E50" t="s">
        <v>355</v>
      </c>
      <c r="F50" t="b">
        <v>0</v>
      </c>
      <c r="G50" s="5">
        <v>2</v>
      </c>
      <c r="H50">
        <v>171</v>
      </c>
      <c r="I50" s="5">
        <v>2</v>
      </c>
      <c r="J50">
        <v>117</v>
      </c>
      <c r="K50" s="5">
        <v>2</v>
      </c>
      <c r="L50">
        <v>341</v>
      </c>
      <c r="M50" s="5">
        <v>2</v>
      </c>
      <c r="N50">
        <v>217</v>
      </c>
      <c r="O50" s="5">
        <v>2</v>
      </c>
      <c r="P50">
        <v>800</v>
      </c>
      <c r="Q50" s="5"/>
    </row>
    <row r="51" spans="2:18" x14ac:dyDescent="0.2">
      <c r="C51" t="s">
        <v>354</v>
      </c>
      <c r="D51" t="s">
        <v>321</v>
      </c>
      <c r="E51" t="s">
        <v>357</v>
      </c>
      <c r="F51" t="b">
        <v>1</v>
      </c>
      <c r="G51" s="5">
        <v>2</v>
      </c>
      <c r="H51">
        <v>171</v>
      </c>
      <c r="I51" s="5">
        <v>2</v>
      </c>
      <c r="J51">
        <v>117</v>
      </c>
      <c r="K51" s="5">
        <v>2</v>
      </c>
      <c r="L51">
        <v>341</v>
      </c>
      <c r="M51" s="5">
        <v>2</v>
      </c>
      <c r="N51">
        <v>217</v>
      </c>
      <c r="O51" s="5">
        <v>0</v>
      </c>
      <c r="Q51" s="5"/>
    </row>
    <row r="52" spans="2:18" x14ac:dyDescent="0.2">
      <c r="C52" t="s">
        <v>354</v>
      </c>
      <c r="D52" t="s">
        <v>321</v>
      </c>
      <c r="E52" t="s">
        <v>359</v>
      </c>
      <c r="F52" t="b">
        <v>0</v>
      </c>
      <c r="G52" s="5">
        <v>2</v>
      </c>
      <c r="H52">
        <v>171</v>
      </c>
      <c r="I52" s="5">
        <v>2</v>
      </c>
      <c r="J52">
        <v>117</v>
      </c>
      <c r="K52" s="5">
        <v>2</v>
      </c>
      <c r="L52">
        <v>341</v>
      </c>
      <c r="M52" s="5">
        <v>2</v>
      </c>
      <c r="N52">
        <v>217</v>
      </c>
      <c r="O52" s="5">
        <v>2</v>
      </c>
      <c r="P52">
        <v>23</v>
      </c>
      <c r="Q52" s="5"/>
    </row>
    <row r="53" spans="2:18" x14ac:dyDescent="0.2">
      <c r="C53" t="s">
        <v>361</v>
      </c>
      <c r="D53" t="s">
        <v>321</v>
      </c>
      <c r="E53" t="s">
        <v>362</v>
      </c>
      <c r="F53" t="b">
        <v>0</v>
      </c>
      <c r="G53" s="5">
        <v>2</v>
      </c>
      <c r="H53">
        <v>171</v>
      </c>
      <c r="I53" s="5">
        <v>2</v>
      </c>
      <c r="J53">
        <v>117</v>
      </c>
      <c r="K53" s="5">
        <v>2</v>
      </c>
      <c r="L53">
        <v>352</v>
      </c>
      <c r="M53" s="5">
        <v>2</v>
      </c>
      <c r="N53">
        <v>227</v>
      </c>
      <c r="O53" s="5">
        <v>2</v>
      </c>
      <c r="P53">
        <v>846</v>
      </c>
      <c r="Q53" s="5"/>
    </row>
    <row r="54" spans="2:18" x14ac:dyDescent="0.2">
      <c r="C54" t="s">
        <v>361</v>
      </c>
      <c r="D54" t="s">
        <v>321</v>
      </c>
      <c r="E54" t="s">
        <v>364</v>
      </c>
      <c r="F54" t="b">
        <v>0</v>
      </c>
      <c r="G54" s="5">
        <v>2</v>
      </c>
      <c r="H54">
        <v>171</v>
      </c>
      <c r="I54" s="5">
        <v>2</v>
      </c>
      <c r="J54">
        <v>117</v>
      </c>
      <c r="K54" s="5">
        <v>2</v>
      </c>
      <c r="L54">
        <v>352</v>
      </c>
      <c r="M54" s="5">
        <v>2</v>
      </c>
      <c r="N54">
        <v>227</v>
      </c>
      <c r="O54" s="5">
        <v>2</v>
      </c>
      <c r="P54">
        <v>32</v>
      </c>
      <c r="Q54" s="5"/>
    </row>
    <row r="55" spans="2:18" x14ac:dyDescent="0.2">
      <c r="C55" t="s">
        <v>361</v>
      </c>
      <c r="D55" t="s">
        <v>321</v>
      </c>
      <c r="E55" t="s">
        <v>366</v>
      </c>
      <c r="F55" t="b">
        <v>1</v>
      </c>
      <c r="G55" s="5">
        <v>2</v>
      </c>
      <c r="H55">
        <v>171</v>
      </c>
      <c r="I55" s="5">
        <v>2</v>
      </c>
      <c r="J55">
        <v>117</v>
      </c>
      <c r="K55" s="5">
        <v>2</v>
      </c>
      <c r="L55">
        <v>352</v>
      </c>
      <c r="M55" s="5">
        <v>2</v>
      </c>
      <c r="N55">
        <v>227</v>
      </c>
      <c r="O55" s="5">
        <v>1</v>
      </c>
      <c r="P55">
        <v>854</v>
      </c>
      <c r="Q55" s="5"/>
    </row>
    <row r="56" spans="2:18" x14ac:dyDescent="0.2">
      <c r="B56" s="88" t="s">
        <v>368</v>
      </c>
      <c r="C56" s="88"/>
      <c r="D56" s="88"/>
      <c r="E56" s="88"/>
      <c r="F56" s="88"/>
      <c r="G56" s="88">
        <f>SUM(G57:G61)/10</f>
        <v>1</v>
      </c>
      <c r="H56" s="88"/>
      <c r="I56" s="88">
        <f>SUM(I57:I61)/10</f>
        <v>1</v>
      </c>
      <c r="J56" s="88"/>
      <c r="K56" s="88">
        <f>SUM(K57:K61)/10</f>
        <v>1</v>
      </c>
      <c r="L56" s="88"/>
      <c r="M56" s="88">
        <f>SUM(M57:M61)/10</f>
        <v>1</v>
      </c>
      <c r="N56" s="88"/>
      <c r="O56" s="88">
        <f>SUM(O57:O61)/10</f>
        <v>0.2</v>
      </c>
      <c r="P56" s="88"/>
      <c r="Q56" s="90"/>
      <c r="R56" s="88"/>
    </row>
    <row r="57" spans="2:18" x14ac:dyDescent="0.2">
      <c r="C57" t="s">
        <v>369</v>
      </c>
      <c r="D57" t="s">
        <v>321</v>
      </c>
      <c r="E57" t="s">
        <v>370</v>
      </c>
      <c r="F57" t="b">
        <v>0</v>
      </c>
      <c r="G57" s="5">
        <v>2</v>
      </c>
      <c r="H57">
        <v>211</v>
      </c>
      <c r="I57" s="5">
        <v>2</v>
      </c>
      <c r="J57">
        <v>144</v>
      </c>
      <c r="K57" s="5">
        <v>2</v>
      </c>
      <c r="L57">
        <v>365</v>
      </c>
      <c r="M57" s="5">
        <v>2</v>
      </c>
      <c r="N57">
        <v>239</v>
      </c>
      <c r="O57" s="5">
        <v>2</v>
      </c>
      <c r="P57">
        <v>675</v>
      </c>
      <c r="Q57" s="5"/>
    </row>
    <row r="58" spans="2:18" x14ac:dyDescent="0.2">
      <c r="C58" t="s">
        <v>369</v>
      </c>
      <c r="D58" t="s">
        <v>321</v>
      </c>
      <c r="E58" t="s">
        <v>371</v>
      </c>
      <c r="F58" t="b">
        <v>1</v>
      </c>
      <c r="G58" s="5">
        <v>2</v>
      </c>
      <c r="H58">
        <v>211</v>
      </c>
      <c r="I58" s="5">
        <v>2</v>
      </c>
      <c r="J58">
        <v>144</v>
      </c>
      <c r="K58" s="5">
        <v>2</v>
      </c>
      <c r="L58">
        <v>371</v>
      </c>
      <c r="M58" s="5">
        <v>2</v>
      </c>
      <c r="N58">
        <v>239</v>
      </c>
      <c r="O58" s="5">
        <v>0</v>
      </c>
      <c r="Q58" s="5"/>
    </row>
    <row r="59" spans="2:18" x14ac:dyDescent="0.2">
      <c r="C59" t="s">
        <v>369</v>
      </c>
      <c r="D59" t="s">
        <v>321</v>
      </c>
      <c r="E59" t="s">
        <v>373</v>
      </c>
      <c r="F59" t="b">
        <v>0</v>
      </c>
      <c r="G59" s="5">
        <v>2</v>
      </c>
      <c r="H59">
        <v>211</v>
      </c>
      <c r="I59" s="5">
        <v>2</v>
      </c>
      <c r="J59">
        <v>144</v>
      </c>
      <c r="K59" s="5">
        <v>2</v>
      </c>
      <c r="L59">
        <v>371</v>
      </c>
      <c r="M59" s="5">
        <v>2</v>
      </c>
      <c r="N59">
        <v>239</v>
      </c>
      <c r="O59" s="5">
        <v>0</v>
      </c>
      <c r="Q59" s="5"/>
    </row>
    <row r="60" spans="2:18" x14ac:dyDescent="0.2">
      <c r="C60" t="s">
        <v>369</v>
      </c>
      <c r="D60" t="s">
        <v>321</v>
      </c>
      <c r="E60" t="s">
        <v>375</v>
      </c>
      <c r="F60" t="b">
        <v>1</v>
      </c>
      <c r="G60" s="5">
        <v>2</v>
      </c>
      <c r="H60">
        <v>211</v>
      </c>
      <c r="I60" s="5">
        <v>2</v>
      </c>
      <c r="J60">
        <v>144</v>
      </c>
      <c r="K60" s="5">
        <v>2</v>
      </c>
      <c r="L60">
        <v>371</v>
      </c>
      <c r="M60" s="5">
        <v>2</v>
      </c>
      <c r="N60">
        <v>239</v>
      </c>
      <c r="O60" s="5">
        <v>0</v>
      </c>
      <c r="Q60" s="5"/>
    </row>
    <row r="61" spans="2:18" x14ac:dyDescent="0.2">
      <c r="C61" t="s">
        <v>369</v>
      </c>
      <c r="D61" t="s">
        <v>321</v>
      </c>
      <c r="E61" t="s">
        <v>381</v>
      </c>
      <c r="F61" t="b">
        <v>0</v>
      </c>
      <c r="G61" s="5">
        <v>2</v>
      </c>
      <c r="H61">
        <v>211</v>
      </c>
      <c r="I61" s="5">
        <v>2</v>
      </c>
      <c r="J61">
        <v>144</v>
      </c>
      <c r="K61" s="5">
        <v>2</v>
      </c>
      <c r="L61">
        <v>371</v>
      </c>
      <c r="M61" s="5">
        <v>2</v>
      </c>
      <c r="N61">
        <v>239</v>
      </c>
      <c r="O61" s="5">
        <v>0</v>
      </c>
      <c r="Q61" s="5"/>
    </row>
    <row r="63" spans="2:18" x14ac:dyDescent="0.2">
      <c r="F63" s="43" t="s">
        <v>35</v>
      </c>
      <c r="G63" s="43">
        <f>SUM(G6:G9,G11:G14,G17:G20,G22:G26,G28:G29,G31:G32,G34:G41,G43:G48,G50:G55,G57:G61)</f>
        <v>84</v>
      </c>
      <c r="H63" s="43"/>
      <c r="I63" s="43">
        <f>SUM(I6:I9,I11:I14,I17:I20,I22:I26,I28:I29,I31:I32,I34:I41,I43:I48,I50:I55,I57:I61)</f>
        <v>84</v>
      </c>
      <c r="J63" s="43"/>
      <c r="K63" s="43">
        <f>SUM(K6:K9,K11:K14,K17:K20,K22:K26,K28:K29,K31:K32,K34:K41,K43:K48,K50:K55,K57:K61)</f>
        <v>88</v>
      </c>
      <c r="L63" s="43"/>
      <c r="M63" s="43">
        <f>SUM(M6:M9,M11:M14,M17:M20,M22:M26,M28:M29,M31:M32,M34:M41,M43:M48,M50:M55,M57:M61)</f>
        <v>88</v>
      </c>
      <c r="N63" s="43"/>
      <c r="O63" s="43">
        <f>SUM(O6:O9,O11:O14,O17:O20,O22:O26,O28:O29,O31:O32,O34:O41,O43:O48,O50:O55,O57:O61)</f>
        <v>39</v>
      </c>
      <c r="P63" s="43"/>
      <c r="Q63" s="43"/>
      <c r="R63" s="43"/>
    </row>
    <row r="64" spans="2:18" x14ac:dyDescent="0.2">
      <c r="F64" t="s">
        <v>785</v>
      </c>
      <c r="G64" s="67">
        <f>G63/88</f>
        <v>0.95454545454545459</v>
      </c>
      <c r="H64" s="67"/>
      <c r="I64" s="67">
        <f>I63/88</f>
        <v>0.95454545454545459</v>
      </c>
      <c r="J64" s="67"/>
      <c r="K64" s="67">
        <f>K63/88</f>
        <v>1</v>
      </c>
      <c r="L64" s="67"/>
      <c r="M64" s="67">
        <f>M63/88</f>
        <v>1</v>
      </c>
      <c r="N64" s="67"/>
      <c r="O64" s="67">
        <f>O63/88</f>
        <v>0.44318181818181818</v>
      </c>
    </row>
    <row r="66" spans="7:15" x14ac:dyDescent="0.2">
      <c r="G66" s="67">
        <f>SUM(G5,G10,G16,G21,G27,G30,G33,G42,G49,G56)/10</f>
        <v>0.96666666666666679</v>
      </c>
      <c r="H66" s="67"/>
      <c r="I66" s="67">
        <f>SUM(I5,I10,I16,I21,I27,I30,I33,I42,I49,I56)/10</f>
        <v>0.96666666666666679</v>
      </c>
      <c r="J66" s="67"/>
      <c r="K66" s="67">
        <f>SUM(K5,K10,K16,K21,K27,K30,K33,K42,K49,K56)/10</f>
        <v>1</v>
      </c>
      <c r="L66" s="67"/>
      <c r="M66" s="67">
        <f>SUM(M5,M10,M16,M21,M27,M30,M33,M42,M49,M56)/10</f>
        <v>1</v>
      </c>
      <c r="N66" s="67"/>
      <c r="O66" s="67">
        <f>SUM(O5,O10,O16,O21,O27,O30,O33,O42,O49,O56)/10</f>
        <v>0.4179166666666666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8090-A481-3949-BF5C-B1AEA662200C}">
  <dimension ref="B3:L48"/>
  <sheetViews>
    <sheetView topLeftCell="A22" zoomScale="125" workbookViewId="0">
      <selection activeCell="M40" sqref="M40"/>
    </sheetView>
  </sheetViews>
  <sheetFormatPr baseColWidth="10" defaultRowHeight="16" x14ac:dyDescent="0.2"/>
  <cols>
    <col min="2" max="2" width="5.1640625" bestFit="1" customWidth="1"/>
    <col min="3" max="3" width="34.83203125" bestFit="1" customWidth="1"/>
    <col min="4" max="4" width="35.83203125" bestFit="1" customWidth="1"/>
    <col min="5" max="5" width="34.83203125" bestFit="1" customWidth="1"/>
    <col min="6" max="6" width="21.1640625" bestFit="1" customWidth="1"/>
    <col min="8" max="8" width="12.6640625" bestFit="1" customWidth="1"/>
    <col min="9" max="9" width="7" bestFit="1" customWidth="1"/>
    <col min="10" max="10" width="9.83203125" bestFit="1" customWidth="1"/>
    <col min="11" max="11" width="8.1640625" bestFit="1" customWidth="1"/>
  </cols>
  <sheetData>
    <row r="3" spans="2:12" x14ac:dyDescent="0.2">
      <c r="C3" t="s">
        <v>269</v>
      </c>
      <c r="G3" s="5"/>
    </row>
    <row r="4" spans="2:12" x14ac:dyDescent="0.2">
      <c r="B4" s="4" t="s">
        <v>774</v>
      </c>
      <c r="C4" s="3" t="s">
        <v>182</v>
      </c>
      <c r="D4" s="3" t="s">
        <v>184</v>
      </c>
      <c r="E4" s="3" t="s">
        <v>185</v>
      </c>
      <c r="F4" s="2" t="s">
        <v>186</v>
      </c>
      <c r="G4" s="85" t="s">
        <v>270</v>
      </c>
      <c r="H4" s="85" t="s">
        <v>271</v>
      </c>
      <c r="I4" s="85" t="s">
        <v>272</v>
      </c>
      <c r="J4" s="85" t="s">
        <v>273</v>
      </c>
      <c r="K4" s="85" t="s">
        <v>11</v>
      </c>
      <c r="L4" s="85" t="s">
        <v>15</v>
      </c>
    </row>
    <row r="5" spans="2:12" x14ac:dyDescent="0.2">
      <c r="B5" s="88" t="s">
        <v>187</v>
      </c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2:12" x14ac:dyDescent="0.2">
      <c r="C6" t="s">
        <v>383</v>
      </c>
      <c r="D6" t="s">
        <v>384</v>
      </c>
      <c r="E6" t="s">
        <v>383</v>
      </c>
      <c r="F6" t="s">
        <v>385</v>
      </c>
      <c r="G6" s="5"/>
    </row>
    <row r="7" spans="2:12" x14ac:dyDescent="0.2">
      <c r="C7" t="s">
        <v>383</v>
      </c>
      <c r="D7" t="s">
        <v>386</v>
      </c>
      <c r="E7" t="s">
        <v>383</v>
      </c>
      <c r="F7" t="s">
        <v>387</v>
      </c>
      <c r="G7" s="5"/>
    </row>
    <row r="8" spans="2:12" x14ac:dyDescent="0.2">
      <c r="C8" t="s">
        <v>383</v>
      </c>
      <c r="D8" t="s">
        <v>389</v>
      </c>
      <c r="E8" t="s">
        <v>383</v>
      </c>
      <c r="F8" t="s">
        <v>390</v>
      </c>
      <c r="G8" s="5"/>
    </row>
    <row r="9" spans="2:12" x14ac:dyDescent="0.2">
      <c r="C9" t="s">
        <v>383</v>
      </c>
      <c r="D9" t="s">
        <v>391</v>
      </c>
      <c r="E9" t="s">
        <v>383</v>
      </c>
      <c r="F9" t="s">
        <v>390</v>
      </c>
      <c r="G9" s="5"/>
    </row>
    <row r="10" spans="2:12" x14ac:dyDescent="0.2">
      <c r="C10" t="s">
        <v>383</v>
      </c>
      <c r="D10" t="s">
        <v>392</v>
      </c>
      <c r="E10" t="s">
        <v>383</v>
      </c>
      <c r="F10" t="s">
        <v>390</v>
      </c>
      <c r="G10" s="5"/>
    </row>
    <row r="11" spans="2:12" x14ac:dyDescent="0.2">
      <c r="C11" t="s">
        <v>383</v>
      </c>
      <c r="D11" t="s">
        <v>397</v>
      </c>
      <c r="E11" t="s">
        <v>383</v>
      </c>
      <c r="F11" t="s">
        <v>398</v>
      </c>
      <c r="G11" s="5"/>
    </row>
    <row r="12" spans="2:12" x14ac:dyDescent="0.2">
      <c r="B12" s="88" t="s">
        <v>194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</row>
    <row r="13" spans="2:12" x14ac:dyDescent="0.2">
      <c r="C13" t="s">
        <v>399</v>
      </c>
      <c r="D13" t="s">
        <v>384</v>
      </c>
      <c r="E13" t="s">
        <v>399</v>
      </c>
      <c r="F13" t="s">
        <v>385</v>
      </c>
      <c r="G13" s="5"/>
    </row>
    <row r="14" spans="2:12" x14ac:dyDescent="0.2">
      <c r="C14" t="s">
        <v>399</v>
      </c>
      <c r="D14" t="s">
        <v>386</v>
      </c>
      <c r="E14" t="s">
        <v>399</v>
      </c>
      <c r="F14" t="s">
        <v>387</v>
      </c>
      <c r="G14" s="5"/>
    </row>
    <row r="15" spans="2:12" x14ac:dyDescent="0.2">
      <c r="C15" t="s">
        <v>399</v>
      </c>
      <c r="D15" t="s">
        <v>389</v>
      </c>
      <c r="E15" t="s">
        <v>399</v>
      </c>
      <c r="F15" t="s">
        <v>390</v>
      </c>
      <c r="G15" s="5"/>
    </row>
    <row r="16" spans="2:12" x14ac:dyDescent="0.2">
      <c r="C16" t="s">
        <v>399</v>
      </c>
      <c r="D16" t="s">
        <v>391</v>
      </c>
      <c r="E16" t="s">
        <v>399</v>
      </c>
      <c r="F16" t="s">
        <v>390</v>
      </c>
      <c r="G16" s="5"/>
    </row>
    <row r="17" spans="2:12" x14ac:dyDescent="0.2">
      <c r="C17" t="s">
        <v>399</v>
      </c>
      <c r="D17" t="s">
        <v>392</v>
      </c>
      <c r="E17" t="s">
        <v>399</v>
      </c>
      <c r="F17" t="s">
        <v>400</v>
      </c>
      <c r="G17" s="5"/>
    </row>
    <row r="18" spans="2:12" x14ac:dyDescent="0.2">
      <c r="C18" t="s">
        <v>399</v>
      </c>
      <c r="D18" t="s">
        <v>404</v>
      </c>
      <c r="E18" t="s">
        <v>399</v>
      </c>
      <c r="F18" t="s">
        <v>405</v>
      </c>
      <c r="G18" s="5"/>
    </row>
    <row r="19" spans="2:12" x14ac:dyDescent="0.2">
      <c r="B19" s="88" t="s">
        <v>210</v>
      </c>
      <c r="C19" s="88"/>
      <c r="D19" s="88"/>
      <c r="E19" s="88"/>
      <c r="F19" s="88"/>
      <c r="G19" s="88"/>
      <c r="H19" s="88"/>
      <c r="I19" s="88"/>
      <c r="J19" s="88"/>
      <c r="K19" s="88"/>
      <c r="L19" s="88"/>
    </row>
    <row r="20" spans="2:12" x14ac:dyDescent="0.2">
      <c r="C20" t="s">
        <v>406</v>
      </c>
      <c r="D20" t="s">
        <v>407</v>
      </c>
      <c r="E20" t="s">
        <v>406</v>
      </c>
      <c r="F20" t="s">
        <v>385</v>
      </c>
      <c r="G20" s="5"/>
    </row>
    <row r="21" spans="2:12" x14ac:dyDescent="0.2">
      <c r="C21" t="s">
        <v>406</v>
      </c>
      <c r="D21" t="s">
        <v>386</v>
      </c>
      <c r="E21" t="s">
        <v>406</v>
      </c>
      <c r="F21" t="s">
        <v>387</v>
      </c>
      <c r="G21" s="5"/>
    </row>
    <row r="22" spans="2:12" x14ac:dyDescent="0.2">
      <c r="C22" t="s">
        <v>406</v>
      </c>
      <c r="D22" t="s">
        <v>393</v>
      </c>
      <c r="E22" t="s">
        <v>406</v>
      </c>
      <c r="F22" t="s">
        <v>396</v>
      </c>
      <c r="G22" s="5"/>
    </row>
    <row r="23" spans="2:12" x14ac:dyDescent="0.2">
      <c r="C23" t="s">
        <v>406</v>
      </c>
      <c r="D23" t="s">
        <v>402</v>
      </c>
      <c r="E23" t="s">
        <v>406</v>
      </c>
      <c r="F23" t="s">
        <v>398</v>
      </c>
      <c r="G23" s="5"/>
    </row>
    <row r="24" spans="2:12" x14ac:dyDescent="0.2">
      <c r="B24" s="88" t="s">
        <v>219</v>
      </c>
      <c r="C24" s="88"/>
      <c r="D24" s="88"/>
      <c r="E24" s="88"/>
      <c r="F24" s="88"/>
      <c r="G24" s="88"/>
      <c r="H24" s="88"/>
      <c r="I24" s="88"/>
      <c r="J24" s="88"/>
      <c r="K24" s="88"/>
      <c r="L24" s="88"/>
    </row>
    <row r="25" spans="2:12" x14ac:dyDescent="0.2">
      <c r="C25" t="s">
        <v>408</v>
      </c>
      <c r="D25" t="s">
        <v>409</v>
      </c>
      <c r="E25" t="s">
        <v>408</v>
      </c>
      <c r="F25" t="s">
        <v>385</v>
      </c>
      <c r="G25" s="5"/>
    </row>
    <row r="26" spans="2:12" x14ac:dyDescent="0.2">
      <c r="C26" t="s">
        <v>408</v>
      </c>
      <c r="D26" t="s">
        <v>410</v>
      </c>
      <c r="E26" t="s">
        <v>408</v>
      </c>
      <c r="F26" t="s">
        <v>387</v>
      </c>
      <c r="G26" s="5"/>
    </row>
    <row r="27" spans="2:12" x14ac:dyDescent="0.2">
      <c r="C27" t="s">
        <v>408</v>
      </c>
      <c r="D27" t="s">
        <v>411</v>
      </c>
      <c r="E27" t="s">
        <v>408</v>
      </c>
      <c r="F27" t="s">
        <v>387</v>
      </c>
      <c r="G27" s="5"/>
    </row>
    <row r="28" spans="2:12" x14ac:dyDescent="0.2">
      <c r="C28" t="s">
        <v>408</v>
      </c>
      <c r="D28" t="s">
        <v>412</v>
      </c>
      <c r="E28" t="s">
        <v>408</v>
      </c>
      <c r="F28" t="s">
        <v>413</v>
      </c>
      <c r="G28" s="5"/>
    </row>
    <row r="29" spans="2:12" x14ac:dyDescent="0.2">
      <c r="C29" t="s">
        <v>408</v>
      </c>
      <c r="D29" t="s">
        <v>414</v>
      </c>
      <c r="E29" t="s">
        <v>408</v>
      </c>
      <c r="F29" t="s">
        <v>413</v>
      </c>
      <c r="G29" s="5"/>
    </row>
    <row r="30" spans="2:12" x14ac:dyDescent="0.2">
      <c r="C30" t="s">
        <v>408</v>
      </c>
      <c r="D30" t="s">
        <v>416</v>
      </c>
      <c r="E30" t="s">
        <v>408</v>
      </c>
      <c r="F30" t="s">
        <v>417</v>
      </c>
      <c r="G30" s="5"/>
    </row>
    <row r="31" spans="2:12" x14ac:dyDescent="0.2">
      <c r="C31" t="s">
        <v>408</v>
      </c>
      <c r="D31" t="s">
        <v>422</v>
      </c>
      <c r="E31" t="s">
        <v>408</v>
      </c>
      <c r="F31" t="s">
        <v>423</v>
      </c>
      <c r="G31" s="5"/>
    </row>
    <row r="32" spans="2:12" x14ac:dyDescent="0.2">
      <c r="B32" s="88" t="s">
        <v>223</v>
      </c>
      <c r="C32" s="88"/>
      <c r="D32" s="88"/>
      <c r="E32" s="88"/>
      <c r="F32" s="88"/>
      <c r="G32" s="88"/>
      <c r="H32" s="88"/>
      <c r="I32" s="88"/>
      <c r="J32" s="88"/>
      <c r="K32" s="88"/>
      <c r="L32" s="88"/>
    </row>
    <row r="33" spans="2:12" x14ac:dyDescent="0.2">
      <c r="C33" t="s">
        <v>429</v>
      </c>
      <c r="D33" t="s">
        <v>409</v>
      </c>
      <c r="E33" t="s">
        <v>429</v>
      </c>
      <c r="F33" t="s">
        <v>385</v>
      </c>
      <c r="G33" s="5"/>
    </row>
    <row r="34" spans="2:12" x14ac:dyDescent="0.2">
      <c r="C34" t="s">
        <v>429</v>
      </c>
      <c r="D34" t="s">
        <v>410</v>
      </c>
      <c r="E34" t="s">
        <v>429</v>
      </c>
      <c r="F34" t="s">
        <v>387</v>
      </c>
      <c r="G34" s="5"/>
    </row>
    <row r="35" spans="2:12" x14ac:dyDescent="0.2">
      <c r="C35" t="s">
        <v>429</v>
      </c>
      <c r="D35" t="s">
        <v>411</v>
      </c>
      <c r="E35" t="s">
        <v>429</v>
      </c>
      <c r="F35" t="s">
        <v>387</v>
      </c>
      <c r="G35" s="5"/>
    </row>
    <row r="36" spans="2:12" x14ac:dyDescent="0.2">
      <c r="C36" t="s">
        <v>429</v>
      </c>
      <c r="D36" t="s">
        <v>412</v>
      </c>
      <c r="E36" t="s">
        <v>429</v>
      </c>
      <c r="F36" t="s">
        <v>413</v>
      </c>
      <c r="G36" s="5"/>
    </row>
    <row r="37" spans="2:12" x14ac:dyDescent="0.2">
      <c r="C37" t="s">
        <v>429</v>
      </c>
      <c r="D37" t="s">
        <v>414</v>
      </c>
      <c r="E37" t="s">
        <v>429</v>
      </c>
      <c r="F37" t="s">
        <v>413</v>
      </c>
      <c r="G37" s="5"/>
    </row>
    <row r="38" spans="2:12" x14ac:dyDescent="0.2">
      <c r="C38" t="s">
        <v>429</v>
      </c>
      <c r="D38" t="s">
        <v>415</v>
      </c>
      <c r="E38" t="s">
        <v>429</v>
      </c>
      <c r="F38" t="s">
        <v>390</v>
      </c>
      <c r="G38" s="5"/>
    </row>
    <row r="39" spans="2:12" x14ac:dyDescent="0.2">
      <c r="C39" t="s">
        <v>429</v>
      </c>
      <c r="D39" t="s">
        <v>416</v>
      </c>
      <c r="E39" t="s">
        <v>429</v>
      </c>
      <c r="F39" t="s">
        <v>430</v>
      </c>
      <c r="G39" s="5"/>
    </row>
    <row r="40" spans="2:12" x14ac:dyDescent="0.2">
      <c r="C40" t="s">
        <v>429</v>
      </c>
      <c r="D40" t="s">
        <v>422</v>
      </c>
      <c r="E40" t="s">
        <v>429</v>
      </c>
      <c r="F40" t="s">
        <v>432</v>
      </c>
      <c r="G40" s="5"/>
    </row>
    <row r="41" spans="2:12" x14ac:dyDescent="0.2">
      <c r="B41" s="88" t="s">
        <v>244</v>
      </c>
      <c r="C41" s="88"/>
      <c r="D41" s="88"/>
      <c r="E41" s="88"/>
      <c r="F41" s="88"/>
      <c r="G41" s="88"/>
      <c r="H41" s="88"/>
      <c r="I41" s="88"/>
      <c r="J41" s="88"/>
      <c r="K41" s="88"/>
      <c r="L41" s="88"/>
    </row>
    <row r="42" spans="2:12" x14ac:dyDescent="0.2">
      <c r="C42" t="s">
        <v>437</v>
      </c>
      <c r="D42" t="s">
        <v>409</v>
      </c>
      <c r="E42" t="s">
        <v>437</v>
      </c>
      <c r="F42" t="s">
        <v>385</v>
      </c>
      <c r="G42" s="5"/>
    </row>
    <row r="43" spans="2:12" x14ac:dyDescent="0.2">
      <c r="C43" t="s">
        <v>437</v>
      </c>
      <c r="D43" t="s">
        <v>410</v>
      </c>
      <c r="E43" t="s">
        <v>437</v>
      </c>
      <c r="F43" t="s">
        <v>387</v>
      </c>
      <c r="G43" s="5"/>
    </row>
    <row r="44" spans="2:12" x14ac:dyDescent="0.2">
      <c r="C44" t="s">
        <v>437</v>
      </c>
      <c r="D44" t="s">
        <v>411</v>
      </c>
      <c r="E44" t="s">
        <v>437</v>
      </c>
      <c r="F44" t="s">
        <v>387</v>
      </c>
      <c r="G44" s="5"/>
    </row>
    <row r="45" spans="2:12" x14ac:dyDescent="0.2">
      <c r="C45" t="s">
        <v>437</v>
      </c>
      <c r="D45" t="s">
        <v>412</v>
      </c>
      <c r="E45" t="s">
        <v>437</v>
      </c>
      <c r="F45" t="s">
        <v>413</v>
      </c>
      <c r="G45" s="5"/>
    </row>
    <row r="46" spans="2:12" x14ac:dyDescent="0.2">
      <c r="C46" t="s">
        <v>437</v>
      </c>
      <c r="D46" t="s">
        <v>414</v>
      </c>
      <c r="E46" t="s">
        <v>437</v>
      </c>
      <c r="F46" t="s">
        <v>413</v>
      </c>
      <c r="G46" s="5"/>
    </row>
    <row r="47" spans="2:12" x14ac:dyDescent="0.2">
      <c r="C47" t="s">
        <v>437</v>
      </c>
      <c r="D47" t="s">
        <v>415</v>
      </c>
      <c r="E47" t="s">
        <v>437</v>
      </c>
      <c r="F47" t="s">
        <v>390</v>
      </c>
      <c r="G47" s="5"/>
    </row>
    <row r="48" spans="2:12" x14ac:dyDescent="0.2">
      <c r="C48" t="s">
        <v>437</v>
      </c>
      <c r="D48" t="s">
        <v>422</v>
      </c>
      <c r="E48" t="s">
        <v>437</v>
      </c>
      <c r="F48" t="s">
        <v>423</v>
      </c>
      <c r="G4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2D5B-5A88-5A4B-B93D-4D00753F3CB9}">
  <dimension ref="B3:L33"/>
  <sheetViews>
    <sheetView zoomScale="137" workbookViewId="0">
      <selection activeCell="F37" sqref="F37"/>
    </sheetView>
  </sheetViews>
  <sheetFormatPr baseColWidth="10" defaultRowHeight="16" x14ac:dyDescent="0.2"/>
  <cols>
    <col min="2" max="2" width="12" bestFit="1" customWidth="1"/>
    <col min="3" max="3" width="29.83203125" bestFit="1" customWidth="1"/>
    <col min="4" max="4" width="27" bestFit="1" customWidth="1"/>
    <col min="5" max="5" width="19.5" bestFit="1" customWidth="1"/>
    <col min="6" max="6" width="22" bestFit="1" customWidth="1"/>
    <col min="7" max="7" width="9.83203125" bestFit="1" customWidth="1"/>
    <col min="8" max="8" width="12.6640625" bestFit="1" customWidth="1"/>
    <col min="9" max="9" width="7" bestFit="1" customWidth="1"/>
    <col min="10" max="10" width="9.83203125" bestFit="1" customWidth="1"/>
    <col min="11" max="11" width="8.1640625" bestFit="1" customWidth="1"/>
    <col min="12" max="12" width="8.33203125" bestFit="1" customWidth="1"/>
  </cols>
  <sheetData>
    <row r="3" spans="2:12" x14ac:dyDescent="0.2">
      <c r="C3" t="s">
        <v>269</v>
      </c>
      <c r="G3" s="9" t="s">
        <v>776</v>
      </c>
      <c r="H3" s="6"/>
      <c r="I3" s="6"/>
      <c r="J3" s="6"/>
      <c r="K3" s="6"/>
    </row>
    <row r="4" spans="2:12" x14ac:dyDescent="0.2">
      <c r="B4" s="4" t="s">
        <v>774</v>
      </c>
      <c r="C4" s="3" t="s">
        <v>182</v>
      </c>
      <c r="D4" s="3" t="s">
        <v>184</v>
      </c>
      <c r="E4" s="3" t="s">
        <v>185</v>
      </c>
      <c r="F4" s="2" t="s">
        <v>186</v>
      </c>
      <c r="G4" s="87" t="s">
        <v>270</v>
      </c>
      <c r="H4" s="87" t="s">
        <v>271</v>
      </c>
      <c r="I4" s="87" t="s">
        <v>272</v>
      </c>
      <c r="J4" s="87" t="s">
        <v>273</v>
      </c>
      <c r="K4" s="87" t="s">
        <v>11</v>
      </c>
      <c r="L4" s="85" t="s">
        <v>15</v>
      </c>
    </row>
    <row r="5" spans="2:12" x14ac:dyDescent="0.2">
      <c r="B5" s="88" t="s">
        <v>187</v>
      </c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2:12" x14ac:dyDescent="0.2">
      <c r="C6" t="s">
        <v>438</v>
      </c>
      <c r="D6" t="s">
        <v>439</v>
      </c>
      <c r="E6" t="s">
        <v>438</v>
      </c>
      <c r="F6" t="s">
        <v>440</v>
      </c>
      <c r="G6" s="5"/>
      <c r="H6" s="5"/>
      <c r="I6" s="5"/>
      <c r="J6" s="5"/>
      <c r="K6" s="5"/>
      <c r="L6" s="7"/>
    </row>
    <row r="7" spans="2:12" x14ac:dyDescent="0.2">
      <c r="C7" t="s">
        <v>438</v>
      </c>
      <c r="D7" t="s">
        <v>443</v>
      </c>
      <c r="E7" t="s">
        <v>438</v>
      </c>
      <c r="F7" t="s">
        <v>444</v>
      </c>
      <c r="G7" s="5"/>
      <c r="H7" s="5"/>
      <c r="I7" s="5"/>
      <c r="J7" s="5"/>
      <c r="K7" s="5"/>
      <c r="L7" s="7"/>
    </row>
    <row r="8" spans="2:12" x14ac:dyDescent="0.2">
      <c r="C8" t="s">
        <v>438</v>
      </c>
      <c r="D8" t="s">
        <v>456</v>
      </c>
      <c r="E8" t="s">
        <v>438</v>
      </c>
      <c r="F8" t="s">
        <v>454</v>
      </c>
      <c r="G8" s="5"/>
      <c r="H8" s="5"/>
      <c r="I8" s="5"/>
      <c r="J8" s="5"/>
      <c r="K8" s="5"/>
      <c r="L8" s="7"/>
    </row>
    <row r="9" spans="2:12" x14ac:dyDescent="0.2">
      <c r="C9" t="s">
        <v>438</v>
      </c>
      <c r="D9" t="s">
        <v>457</v>
      </c>
      <c r="E9" t="s">
        <v>438</v>
      </c>
      <c r="F9" t="s">
        <v>454</v>
      </c>
      <c r="G9" s="5"/>
      <c r="H9" s="5"/>
      <c r="I9" s="5"/>
      <c r="J9" s="5"/>
      <c r="K9" s="5"/>
      <c r="L9" s="7"/>
    </row>
    <row r="10" spans="2:12" x14ac:dyDescent="0.2">
      <c r="C10" t="s">
        <v>438</v>
      </c>
      <c r="D10" t="s">
        <v>459</v>
      </c>
      <c r="E10" t="s">
        <v>438</v>
      </c>
      <c r="F10" t="s">
        <v>454</v>
      </c>
      <c r="G10" s="5"/>
      <c r="H10" s="5"/>
      <c r="I10" s="5"/>
      <c r="J10" s="5"/>
      <c r="K10" s="5"/>
      <c r="L10" s="7"/>
    </row>
    <row r="11" spans="2:12" x14ac:dyDescent="0.2">
      <c r="B11" s="88" t="s">
        <v>194</v>
      </c>
      <c r="C11" s="88"/>
      <c r="D11" s="88"/>
      <c r="E11" s="88"/>
      <c r="F11" s="88"/>
      <c r="G11" s="88"/>
      <c r="H11" s="88"/>
      <c r="I11" s="88"/>
      <c r="J11" s="88"/>
      <c r="K11" s="88"/>
      <c r="L11" s="88"/>
    </row>
    <row r="12" spans="2:12" x14ac:dyDescent="0.2">
      <c r="C12" t="s">
        <v>460</v>
      </c>
      <c r="D12" t="s">
        <v>461</v>
      </c>
      <c r="E12" t="s">
        <v>460</v>
      </c>
      <c r="F12" t="s">
        <v>440</v>
      </c>
      <c r="G12" s="5"/>
      <c r="H12" s="5"/>
      <c r="I12" s="5"/>
      <c r="J12" s="5"/>
      <c r="K12" s="5"/>
      <c r="L12" s="7"/>
    </row>
    <row r="13" spans="2:12" x14ac:dyDescent="0.2">
      <c r="C13" t="s">
        <v>460</v>
      </c>
      <c r="D13" t="s">
        <v>463</v>
      </c>
      <c r="E13" t="s">
        <v>460</v>
      </c>
      <c r="F13" t="s">
        <v>444</v>
      </c>
      <c r="G13" s="5"/>
      <c r="H13" s="5"/>
      <c r="I13" s="5"/>
      <c r="J13" s="5"/>
      <c r="K13" s="5"/>
      <c r="L13" s="7"/>
    </row>
    <row r="14" spans="2:12" x14ac:dyDescent="0.2">
      <c r="C14" t="s">
        <v>460</v>
      </c>
      <c r="D14" t="s">
        <v>775</v>
      </c>
      <c r="E14" t="s">
        <v>460</v>
      </c>
      <c r="F14" t="s">
        <v>454</v>
      </c>
      <c r="G14" s="5"/>
      <c r="H14" s="5"/>
      <c r="I14" s="5"/>
      <c r="J14" s="5"/>
      <c r="K14" s="5"/>
      <c r="L14" s="7"/>
    </row>
    <row r="15" spans="2:12" x14ac:dyDescent="0.2">
      <c r="B15" s="88" t="s">
        <v>210</v>
      </c>
      <c r="C15" s="88"/>
      <c r="D15" s="88"/>
      <c r="E15" s="88"/>
      <c r="F15" s="88"/>
      <c r="G15" s="88"/>
      <c r="H15" s="88"/>
      <c r="I15" s="88"/>
      <c r="J15" s="88"/>
      <c r="K15" s="88"/>
      <c r="L15" s="88"/>
    </row>
    <row r="16" spans="2:12" x14ac:dyDescent="0.2">
      <c r="C16" t="s">
        <v>465</v>
      </c>
      <c r="D16" t="s">
        <v>466</v>
      </c>
      <c r="E16" t="s">
        <v>467</v>
      </c>
      <c r="F16" t="s">
        <v>440</v>
      </c>
      <c r="G16" s="5"/>
      <c r="H16" s="5"/>
      <c r="I16" s="5"/>
      <c r="J16" s="5"/>
      <c r="K16" s="5"/>
      <c r="L16" s="7"/>
    </row>
    <row r="17" spans="2:12" x14ac:dyDescent="0.2">
      <c r="C17" t="s">
        <v>465</v>
      </c>
      <c r="D17" t="s">
        <v>472</v>
      </c>
      <c r="E17" t="s">
        <v>467</v>
      </c>
      <c r="F17" t="s">
        <v>454</v>
      </c>
      <c r="G17" s="5"/>
      <c r="H17" s="5"/>
      <c r="I17" s="5"/>
      <c r="J17" s="5"/>
      <c r="K17" s="5"/>
      <c r="L17" s="7"/>
    </row>
    <row r="18" spans="2:12" x14ac:dyDescent="0.2">
      <c r="B18" s="88" t="s">
        <v>219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</row>
    <row r="19" spans="2:12" x14ac:dyDescent="0.2">
      <c r="C19" t="s">
        <v>474</v>
      </c>
      <c r="D19" t="s">
        <v>475</v>
      </c>
      <c r="E19" t="s">
        <v>474</v>
      </c>
      <c r="F19" t="s">
        <v>440</v>
      </c>
      <c r="G19" s="5"/>
      <c r="H19" s="5"/>
      <c r="I19" s="5"/>
      <c r="J19" s="5"/>
      <c r="K19" s="5"/>
      <c r="L19" s="7"/>
    </row>
    <row r="20" spans="2:12" x14ac:dyDescent="0.2">
      <c r="C20" t="s">
        <v>474</v>
      </c>
      <c r="D20" t="s">
        <v>477</v>
      </c>
      <c r="E20" t="s">
        <v>474</v>
      </c>
      <c r="F20" t="s">
        <v>454</v>
      </c>
      <c r="G20" s="5"/>
      <c r="H20" s="5"/>
      <c r="I20" s="5"/>
      <c r="J20" s="5"/>
      <c r="K20" s="5"/>
      <c r="L20" s="7"/>
    </row>
    <row r="21" spans="2:12" x14ac:dyDescent="0.2">
      <c r="C21" t="s">
        <v>474</v>
      </c>
      <c r="D21" t="s">
        <v>480</v>
      </c>
      <c r="E21" t="s">
        <v>474</v>
      </c>
      <c r="F21" t="s">
        <v>444</v>
      </c>
      <c r="G21" s="5"/>
      <c r="H21" s="5"/>
      <c r="I21" s="5"/>
      <c r="J21" s="5"/>
      <c r="K21" s="5"/>
      <c r="L21" s="7"/>
    </row>
    <row r="22" spans="2:12" x14ac:dyDescent="0.2">
      <c r="C22" t="s">
        <v>474</v>
      </c>
      <c r="D22" t="s">
        <v>481</v>
      </c>
      <c r="E22" t="s">
        <v>474</v>
      </c>
      <c r="F22" t="s">
        <v>454</v>
      </c>
      <c r="G22" s="5"/>
      <c r="H22" s="5"/>
      <c r="I22" s="5"/>
      <c r="J22" s="5"/>
      <c r="K22" s="5"/>
      <c r="L22" s="7"/>
    </row>
    <row r="23" spans="2:12" x14ac:dyDescent="0.2">
      <c r="B23" s="88" t="s">
        <v>223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</row>
    <row r="24" spans="2:12" x14ac:dyDescent="0.2">
      <c r="C24" t="s">
        <v>484</v>
      </c>
      <c r="D24" t="s">
        <v>485</v>
      </c>
      <c r="E24" t="s">
        <v>486</v>
      </c>
      <c r="F24" t="s">
        <v>487</v>
      </c>
      <c r="G24" s="5"/>
      <c r="H24" s="5"/>
      <c r="I24" s="5"/>
      <c r="J24" s="5"/>
      <c r="K24" s="5"/>
      <c r="L24" s="7"/>
    </row>
    <row r="25" spans="2:12" x14ac:dyDescent="0.2">
      <c r="C25" t="s">
        <v>484</v>
      </c>
      <c r="D25" t="s">
        <v>488</v>
      </c>
      <c r="E25" t="s">
        <v>486</v>
      </c>
      <c r="F25" t="s">
        <v>54</v>
      </c>
      <c r="G25" s="5"/>
      <c r="H25" s="5"/>
      <c r="I25" s="5"/>
      <c r="J25" s="5"/>
      <c r="K25" s="5"/>
      <c r="L25" s="7"/>
    </row>
    <row r="26" spans="2:12" x14ac:dyDescent="0.2">
      <c r="C26" t="s">
        <v>484</v>
      </c>
      <c r="D26" t="s">
        <v>489</v>
      </c>
      <c r="E26" t="s">
        <v>486</v>
      </c>
      <c r="F26" t="s">
        <v>54</v>
      </c>
      <c r="G26" s="5"/>
      <c r="H26" s="5"/>
      <c r="I26" s="5"/>
      <c r="J26" s="5"/>
      <c r="K26" s="5"/>
      <c r="L26" s="7"/>
    </row>
    <row r="27" spans="2:12" x14ac:dyDescent="0.2">
      <c r="C27" t="s">
        <v>484</v>
      </c>
      <c r="D27" t="s">
        <v>490</v>
      </c>
      <c r="E27" t="s">
        <v>486</v>
      </c>
      <c r="F27" t="s">
        <v>491</v>
      </c>
      <c r="G27" s="5"/>
      <c r="H27" s="5"/>
      <c r="I27" s="5"/>
      <c r="J27" s="5"/>
      <c r="K27" s="5"/>
      <c r="L27" s="7"/>
    </row>
    <row r="28" spans="2:12" x14ac:dyDescent="0.2">
      <c r="B28" s="88" t="s">
        <v>244</v>
      </c>
      <c r="C28" s="88"/>
      <c r="D28" s="88"/>
      <c r="E28" s="88"/>
      <c r="F28" s="88"/>
      <c r="G28" s="88"/>
      <c r="H28" s="88"/>
      <c r="I28" s="88"/>
      <c r="J28" s="88"/>
      <c r="K28" s="88"/>
      <c r="L28" s="88"/>
    </row>
    <row r="29" spans="2:12" x14ac:dyDescent="0.2">
      <c r="C29" t="s">
        <v>492</v>
      </c>
      <c r="D29" t="s">
        <v>493</v>
      </c>
      <c r="E29" t="s">
        <v>494</v>
      </c>
      <c r="F29" t="s">
        <v>440</v>
      </c>
      <c r="G29" s="5"/>
      <c r="H29" s="5"/>
      <c r="I29" s="5"/>
      <c r="J29" s="5"/>
      <c r="K29" s="5"/>
      <c r="L29" s="7"/>
    </row>
    <row r="30" spans="2:12" x14ac:dyDescent="0.2">
      <c r="B30" s="88" t="s">
        <v>255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</row>
    <row r="31" spans="2:12" x14ac:dyDescent="0.2">
      <c r="C31" t="s">
        <v>496</v>
      </c>
      <c r="D31" t="s">
        <v>499</v>
      </c>
      <c r="E31" t="s">
        <v>496</v>
      </c>
      <c r="F31">
        <v>0</v>
      </c>
      <c r="G31" s="5"/>
      <c r="H31" s="5"/>
      <c r="I31" s="5"/>
      <c r="J31" s="5"/>
      <c r="K31" s="5"/>
      <c r="L31" s="7"/>
    </row>
    <row r="32" spans="2:12" x14ac:dyDescent="0.2">
      <c r="C32" t="s">
        <v>496</v>
      </c>
      <c r="D32" t="s">
        <v>497</v>
      </c>
      <c r="E32" t="s">
        <v>496</v>
      </c>
      <c r="F32" t="s">
        <v>498</v>
      </c>
      <c r="G32" s="5"/>
      <c r="H32" s="5"/>
      <c r="I32" s="5"/>
      <c r="J32" s="5"/>
      <c r="K32" s="5"/>
      <c r="L32" s="7"/>
    </row>
    <row r="33" spans="3:12" x14ac:dyDescent="0.2">
      <c r="C33" t="s">
        <v>496</v>
      </c>
      <c r="D33" t="s">
        <v>502</v>
      </c>
      <c r="E33" t="s">
        <v>496</v>
      </c>
      <c r="F33" t="s">
        <v>280</v>
      </c>
      <c r="G33" s="5"/>
      <c r="H33" s="5"/>
      <c r="I33" s="5"/>
      <c r="J33" s="5"/>
      <c r="K33" s="5"/>
      <c r="L3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2437-AFF6-4547-BB2B-213AEB34F4CD}">
  <dimension ref="B3:R115"/>
  <sheetViews>
    <sheetView topLeftCell="C71" zoomScale="113" workbookViewId="0">
      <selection activeCell="G119" sqref="G119"/>
    </sheetView>
  </sheetViews>
  <sheetFormatPr baseColWidth="10" defaultRowHeight="16" x14ac:dyDescent="0.2"/>
  <cols>
    <col min="2" max="2" width="6.1640625" bestFit="1" customWidth="1"/>
    <col min="3" max="3" width="28.83203125" bestFit="1" customWidth="1"/>
    <col min="4" max="4" width="30.5" bestFit="1" customWidth="1"/>
    <col min="5" max="5" width="37" bestFit="1" customWidth="1"/>
    <col min="6" max="6" width="36.1640625" bestFit="1" customWidth="1"/>
    <col min="7" max="7" width="12.1640625" customWidth="1"/>
    <col min="8" max="8" width="12.83203125" bestFit="1" customWidth="1"/>
    <col min="9" max="9" width="7" bestFit="1" customWidth="1"/>
    <col min="10" max="10" width="9.83203125" bestFit="1" customWidth="1"/>
    <col min="11" max="11" width="8.1640625" bestFit="1" customWidth="1"/>
    <col min="12" max="12" width="8.5" bestFit="1" customWidth="1"/>
  </cols>
  <sheetData>
    <row r="3" spans="2:18" x14ac:dyDescent="0.2">
      <c r="C3" t="s">
        <v>269</v>
      </c>
      <c r="G3" s="9" t="s">
        <v>776</v>
      </c>
      <c r="H3" s="6"/>
      <c r="I3" s="6"/>
      <c r="J3" s="6"/>
      <c r="K3" s="6"/>
      <c r="L3" s="6"/>
    </row>
    <row r="4" spans="2:18" x14ac:dyDescent="0.2">
      <c r="B4" s="4" t="s">
        <v>774</v>
      </c>
      <c r="C4" s="3" t="s">
        <v>182</v>
      </c>
      <c r="D4" s="3" t="s">
        <v>184</v>
      </c>
      <c r="E4" s="3" t="s">
        <v>185</v>
      </c>
      <c r="F4" s="2" t="s">
        <v>186</v>
      </c>
      <c r="G4" s="85" t="s">
        <v>270</v>
      </c>
      <c r="H4" s="76" t="s">
        <v>777</v>
      </c>
      <c r="I4" s="86" t="s">
        <v>271</v>
      </c>
      <c r="J4" s="76" t="s">
        <v>777</v>
      </c>
      <c r="K4" s="86" t="s">
        <v>272</v>
      </c>
      <c r="L4" s="43" t="s">
        <v>777</v>
      </c>
      <c r="M4" s="85" t="s">
        <v>273</v>
      </c>
      <c r="N4" s="43" t="s">
        <v>777</v>
      </c>
      <c r="O4" s="85" t="s">
        <v>11</v>
      </c>
      <c r="P4" s="43" t="s">
        <v>777</v>
      </c>
      <c r="Q4" s="85" t="s">
        <v>15</v>
      </c>
      <c r="R4" s="43" t="s">
        <v>777</v>
      </c>
    </row>
    <row r="5" spans="2:18" x14ac:dyDescent="0.2">
      <c r="B5" s="88" t="s">
        <v>187</v>
      </c>
      <c r="C5" s="88"/>
      <c r="D5" s="88"/>
      <c r="E5" s="88"/>
      <c r="F5" s="88"/>
      <c r="G5" s="91">
        <f>SUM(G6)/2</f>
        <v>1</v>
      </c>
      <c r="H5" s="94"/>
      <c r="I5" s="91">
        <f>SUM(I6)/2</f>
        <v>0</v>
      </c>
      <c r="J5" s="94"/>
      <c r="K5" s="91">
        <f>SUM(K6)/2</f>
        <v>1</v>
      </c>
      <c r="L5" s="94"/>
      <c r="M5" s="91">
        <f>SUM(M6)/2</f>
        <v>1</v>
      </c>
      <c r="N5" s="92"/>
      <c r="O5" s="91">
        <f>SUM(O6)/2</f>
        <v>1</v>
      </c>
      <c r="P5" s="92"/>
      <c r="Q5" s="93"/>
      <c r="R5" s="91"/>
    </row>
    <row r="6" spans="2:18" x14ac:dyDescent="0.2">
      <c r="B6" s="84"/>
      <c r="C6" s="83" t="s">
        <v>503</v>
      </c>
      <c r="D6" s="83" t="s">
        <v>504</v>
      </c>
      <c r="E6" s="83" t="s">
        <v>505</v>
      </c>
      <c r="F6" s="83" t="s">
        <v>506</v>
      </c>
      <c r="G6" s="5">
        <v>2</v>
      </c>
      <c r="H6" s="5">
        <v>316</v>
      </c>
      <c r="I6" s="5">
        <v>0</v>
      </c>
      <c r="K6" s="5">
        <v>2</v>
      </c>
      <c r="L6" s="8">
        <v>53</v>
      </c>
      <c r="M6">
        <v>2</v>
      </c>
      <c r="N6">
        <v>31</v>
      </c>
      <c r="O6" s="5">
        <v>2</v>
      </c>
      <c r="P6" t="s">
        <v>783</v>
      </c>
      <c r="Q6" s="5"/>
    </row>
    <row r="7" spans="2:18" x14ac:dyDescent="0.2">
      <c r="B7" s="88" t="s">
        <v>194</v>
      </c>
      <c r="C7" s="88"/>
      <c r="D7" s="88"/>
      <c r="E7" s="88"/>
      <c r="F7" s="88"/>
      <c r="G7" s="91">
        <f>SUM(G8:G11)/8</f>
        <v>0.875</v>
      </c>
      <c r="H7" s="91"/>
      <c r="I7" s="91">
        <f>SUM(I8:I11)/8</f>
        <v>0.75</v>
      </c>
      <c r="J7" s="91"/>
      <c r="K7" s="91">
        <f>SUM(K8:K11)/8</f>
        <v>1</v>
      </c>
      <c r="L7" s="91"/>
      <c r="M7" s="91">
        <f>SUM(M8:M11)/8</f>
        <v>1</v>
      </c>
      <c r="N7" s="91"/>
      <c r="O7" s="91">
        <f>SUM(O8:O11)/8</f>
        <v>0.25</v>
      </c>
      <c r="P7" s="91"/>
      <c r="Q7" s="93"/>
      <c r="R7" s="91"/>
    </row>
    <row r="8" spans="2:18" x14ac:dyDescent="0.2">
      <c r="B8" s="84"/>
      <c r="C8" s="83" t="s">
        <v>507</v>
      </c>
      <c r="D8" s="83" t="s">
        <v>508</v>
      </c>
      <c r="E8" s="83" t="s">
        <v>509</v>
      </c>
      <c r="F8" s="83">
        <v>10.5</v>
      </c>
      <c r="G8" s="5">
        <v>2</v>
      </c>
      <c r="H8" s="5">
        <v>104</v>
      </c>
      <c r="I8" s="5">
        <v>2</v>
      </c>
      <c r="J8" s="8">
        <v>38</v>
      </c>
      <c r="K8" s="5">
        <v>2</v>
      </c>
      <c r="L8" s="8">
        <v>92</v>
      </c>
      <c r="M8">
        <v>2</v>
      </c>
      <c r="N8">
        <v>54</v>
      </c>
      <c r="O8" s="5">
        <v>1</v>
      </c>
      <c r="P8">
        <v>361</v>
      </c>
      <c r="Q8" s="5"/>
    </row>
    <row r="9" spans="2:18" x14ac:dyDescent="0.2">
      <c r="B9" s="84"/>
      <c r="C9" s="83" t="s">
        <v>507</v>
      </c>
      <c r="D9" s="83" t="s">
        <v>508</v>
      </c>
      <c r="E9" s="83" t="s">
        <v>510</v>
      </c>
      <c r="F9" s="83" t="s">
        <v>511</v>
      </c>
      <c r="G9" s="5">
        <v>2</v>
      </c>
      <c r="H9" s="5">
        <v>65</v>
      </c>
      <c r="I9" s="5">
        <v>2</v>
      </c>
      <c r="J9">
        <v>45</v>
      </c>
      <c r="K9" s="5">
        <v>2</v>
      </c>
      <c r="L9" s="8">
        <v>92</v>
      </c>
      <c r="M9">
        <v>2</v>
      </c>
      <c r="N9">
        <v>61</v>
      </c>
      <c r="O9" s="5">
        <v>0</v>
      </c>
      <c r="Q9" s="5"/>
    </row>
    <row r="10" spans="2:18" x14ac:dyDescent="0.2">
      <c r="B10" s="84"/>
      <c r="C10" s="83" t="s">
        <v>507</v>
      </c>
      <c r="D10" s="83" t="s">
        <v>508</v>
      </c>
      <c r="E10" s="83" t="s">
        <v>512</v>
      </c>
      <c r="F10" s="83">
        <v>10.55</v>
      </c>
      <c r="G10" s="5">
        <v>2</v>
      </c>
      <c r="H10" s="5">
        <v>104</v>
      </c>
      <c r="I10" s="5">
        <v>2</v>
      </c>
      <c r="J10">
        <v>60</v>
      </c>
      <c r="K10" s="5">
        <v>2</v>
      </c>
      <c r="L10" s="8">
        <v>92</v>
      </c>
      <c r="M10">
        <v>2</v>
      </c>
      <c r="N10">
        <v>54</v>
      </c>
      <c r="O10" s="5">
        <v>1</v>
      </c>
      <c r="P10">
        <v>114</v>
      </c>
      <c r="Q10" s="5"/>
    </row>
    <row r="11" spans="2:18" x14ac:dyDescent="0.2">
      <c r="B11" s="84"/>
      <c r="C11" s="83" t="s">
        <v>507</v>
      </c>
      <c r="D11" s="83" t="s">
        <v>513</v>
      </c>
      <c r="E11" s="83" t="s">
        <v>514</v>
      </c>
      <c r="F11" s="83" t="s">
        <v>511</v>
      </c>
      <c r="G11" s="5">
        <v>1</v>
      </c>
      <c r="H11" s="5"/>
      <c r="I11" s="5">
        <v>0</v>
      </c>
      <c r="K11" s="5">
        <v>2</v>
      </c>
      <c r="L11" s="8">
        <v>92</v>
      </c>
      <c r="M11">
        <v>2</v>
      </c>
      <c r="N11">
        <v>66</v>
      </c>
      <c r="O11" s="5">
        <v>0</v>
      </c>
      <c r="Q11" s="5"/>
    </row>
    <row r="12" spans="2:18" x14ac:dyDescent="0.2">
      <c r="B12" s="88" t="s">
        <v>210</v>
      </c>
      <c r="C12" s="88"/>
      <c r="D12" s="88"/>
      <c r="E12" s="88"/>
      <c r="F12" s="88"/>
      <c r="G12" s="91">
        <f>SUM(G13:G16)/8</f>
        <v>0.5</v>
      </c>
      <c r="H12" s="91"/>
      <c r="I12" s="91">
        <f>SUM(I13:I16)/8</f>
        <v>0.5</v>
      </c>
      <c r="J12" s="91"/>
      <c r="K12" s="91">
        <f>SUM(K13:K16)/8</f>
        <v>1</v>
      </c>
      <c r="L12" s="92"/>
      <c r="M12" s="91">
        <f>SUM(M13:M16)/8</f>
        <v>1</v>
      </c>
      <c r="N12" s="91"/>
      <c r="O12" s="91">
        <f>SUM(O13:O16)/8</f>
        <v>0.375</v>
      </c>
      <c r="P12" s="91"/>
      <c r="Q12" s="93"/>
      <c r="R12" s="91"/>
    </row>
    <row r="13" spans="2:18" x14ac:dyDescent="0.2">
      <c r="B13" s="84"/>
      <c r="C13" s="83" t="s">
        <v>516</v>
      </c>
      <c r="D13" s="83" t="s">
        <v>508</v>
      </c>
      <c r="E13" s="83" t="s">
        <v>517</v>
      </c>
      <c r="F13" s="83" t="s">
        <v>518</v>
      </c>
      <c r="G13" s="5">
        <v>2</v>
      </c>
      <c r="H13" s="5">
        <v>131</v>
      </c>
      <c r="I13" s="5">
        <v>2</v>
      </c>
      <c r="J13">
        <v>72</v>
      </c>
      <c r="K13" s="5">
        <v>2</v>
      </c>
      <c r="L13" s="8">
        <v>119</v>
      </c>
      <c r="M13">
        <v>2</v>
      </c>
      <c r="N13">
        <v>74</v>
      </c>
      <c r="O13" s="5">
        <v>1</v>
      </c>
      <c r="P13">
        <v>434</v>
      </c>
      <c r="Q13" s="5"/>
    </row>
    <row r="14" spans="2:18" x14ac:dyDescent="0.2">
      <c r="B14" s="84"/>
      <c r="C14" s="83" t="s">
        <v>516</v>
      </c>
      <c r="D14" s="83" t="s">
        <v>513</v>
      </c>
      <c r="E14" s="83" t="s">
        <v>522</v>
      </c>
      <c r="F14" s="83" t="s">
        <v>523</v>
      </c>
      <c r="G14" s="5">
        <v>0</v>
      </c>
      <c r="H14" s="5"/>
      <c r="I14" s="5">
        <v>0</v>
      </c>
      <c r="J14" s="8"/>
      <c r="K14" s="5">
        <v>2</v>
      </c>
      <c r="L14" s="8">
        <v>119</v>
      </c>
      <c r="M14">
        <v>2</v>
      </c>
      <c r="N14">
        <v>74</v>
      </c>
      <c r="O14" s="5">
        <v>1</v>
      </c>
      <c r="P14">
        <v>189</v>
      </c>
      <c r="Q14" s="5"/>
    </row>
    <row r="15" spans="2:18" x14ac:dyDescent="0.2">
      <c r="B15" s="84"/>
      <c r="C15" s="83" t="s">
        <v>524</v>
      </c>
      <c r="D15" s="83" t="s">
        <v>508</v>
      </c>
      <c r="E15" s="83" t="s">
        <v>525</v>
      </c>
      <c r="F15" s="83" t="s">
        <v>526</v>
      </c>
      <c r="G15" s="5">
        <v>2</v>
      </c>
      <c r="H15" s="5">
        <v>131</v>
      </c>
      <c r="I15" s="5">
        <v>2</v>
      </c>
      <c r="J15">
        <v>78</v>
      </c>
      <c r="K15" s="5">
        <v>2</v>
      </c>
      <c r="L15" s="8">
        <v>136</v>
      </c>
      <c r="M15">
        <v>2</v>
      </c>
      <c r="N15">
        <v>85</v>
      </c>
      <c r="O15" s="5">
        <v>0</v>
      </c>
      <c r="Q15" s="5"/>
    </row>
    <row r="16" spans="2:18" x14ac:dyDescent="0.2">
      <c r="B16" s="84"/>
      <c r="C16" s="83" t="s">
        <v>524</v>
      </c>
      <c r="D16" s="83" t="s">
        <v>513</v>
      </c>
      <c r="E16" s="83" t="s">
        <v>531</v>
      </c>
      <c r="F16" s="83" t="s">
        <v>532</v>
      </c>
      <c r="G16" s="5">
        <v>0</v>
      </c>
      <c r="H16" s="5"/>
      <c r="I16" s="5">
        <v>0</v>
      </c>
      <c r="K16" s="5">
        <v>2</v>
      </c>
      <c r="L16" s="8">
        <v>136</v>
      </c>
      <c r="M16">
        <v>2</v>
      </c>
      <c r="N16">
        <v>85</v>
      </c>
      <c r="O16" s="5">
        <v>1</v>
      </c>
      <c r="P16">
        <v>47</v>
      </c>
      <c r="Q16" s="5"/>
    </row>
    <row r="17" spans="2:18" x14ac:dyDescent="0.2">
      <c r="B17" s="88" t="s">
        <v>219</v>
      </c>
      <c r="C17" s="88"/>
      <c r="D17" s="88"/>
      <c r="E17" s="88"/>
      <c r="F17" s="88"/>
      <c r="G17" s="91">
        <f>SUM(G18:G19)/4</f>
        <v>1</v>
      </c>
      <c r="H17" s="91"/>
      <c r="I17" s="91">
        <f>SUM(I18:I19)/4</f>
        <v>0.5</v>
      </c>
      <c r="J17" s="91"/>
      <c r="K17" s="91">
        <f>SUM(K18:K19)/4</f>
        <v>1</v>
      </c>
      <c r="L17" s="91"/>
      <c r="M17" s="91">
        <f>SUM(M18:M19)/4</f>
        <v>1</v>
      </c>
      <c r="N17" s="91"/>
      <c r="O17" s="91">
        <f>SUM(O18:O19)/4</f>
        <v>0.5</v>
      </c>
      <c r="P17" s="91"/>
      <c r="Q17" s="93"/>
      <c r="R17" s="91"/>
    </row>
    <row r="18" spans="2:18" x14ac:dyDescent="0.2">
      <c r="B18" s="84"/>
      <c r="C18" s="83" t="s">
        <v>533</v>
      </c>
      <c r="D18" s="83" t="s">
        <v>534</v>
      </c>
      <c r="E18" s="83" t="s">
        <v>535</v>
      </c>
      <c r="F18" s="83" t="s">
        <v>536</v>
      </c>
      <c r="G18" s="5">
        <v>2</v>
      </c>
      <c r="H18" s="5">
        <v>131</v>
      </c>
      <c r="I18" s="5">
        <v>2</v>
      </c>
      <c r="J18">
        <v>84</v>
      </c>
      <c r="K18" s="5">
        <v>2</v>
      </c>
      <c r="L18" s="8">
        <v>157</v>
      </c>
      <c r="M18">
        <v>2</v>
      </c>
      <c r="N18">
        <v>96</v>
      </c>
      <c r="O18" s="5">
        <v>1</v>
      </c>
      <c r="P18">
        <v>405</v>
      </c>
      <c r="Q18" s="5"/>
    </row>
    <row r="19" spans="2:18" x14ac:dyDescent="0.2">
      <c r="B19" s="84"/>
      <c r="C19" s="83" t="s">
        <v>533</v>
      </c>
      <c r="D19" s="83" t="s">
        <v>539</v>
      </c>
      <c r="E19" s="83" t="s">
        <v>535</v>
      </c>
      <c r="F19" s="83" t="s">
        <v>540</v>
      </c>
      <c r="G19" s="5">
        <v>2</v>
      </c>
      <c r="H19" s="5">
        <v>131</v>
      </c>
      <c r="I19" s="5">
        <v>0</v>
      </c>
      <c r="K19" s="5">
        <v>2</v>
      </c>
      <c r="L19" s="8">
        <v>157</v>
      </c>
      <c r="M19">
        <v>2</v>
      </c>
      <c r="N19">
        <v>96</v>
      </c>
      <c r="O19" s="5">
        <v>1</v>
      </c>
      <c r="P19">
        <v>309</v>
      </c>
      <c r="Q19" s="5"/>
    </row>
    <row r="20" spans="2:18" x14ac:dyDescent="0.2">
      <c r="B20" s="88" t="s">
        <v>223</v>
      </c>
      <c r="C20" s="88"/>
      <c r="D20" s="88"/>
      <c r="E20" s="88"/>
      <c r="F20" s="88"/>
      <c r="G20" s="91">
        <f>SUM(G21:G25)/10</f>
        <v>0.8</v>
      </c>
      <c r="H20" s="91"/>
      <c r="I20" s="91">
        <f>SUM(I21:I25)/10</f>
        <v>0.6</v>
      </c>
      <c r="J20" s="91"/>
      <c r="K20" s="91">
        <f>SUM(K21:K25)/10</f>
        <v>0.8</v>
      </c>
      <c r="L20" s="92"/>
      <c r="M20" s="91">
        <f>SUM(M21:M25)/10</f>
        <v>0.9</v>
      </c>
      <c r="N20" s="91"/>
      <c r="O20" s="91">
        <f>SUM(O21:O25)/10</f>
        <v>0.6</v>
      </c>
      <c r="P20" s="91"/>
      <c r="Q20" s="93"/>
      <c r="R20" s="91"/>
    </row>
    <row r="21" spans="2:18" x14ac:dyDescent="0.2">
      <c r="B21" s="84"/>
      <c r="C21" s="83" t="s">
        <v>543</v>
      </c>
      <c r="D21" s="83" t="s">
        <v>544</v>
      </c>
      <c r="E21" s="83" t="s">
        <v>545</v>
      </c>
      <c r="F21" s="83" t="s">
        <v>546</v>
      </c>
      <c r="G21" s="5">
        <v>2</v>
      </c>
      <c r="H21" s="5">
        <v>172</v>
      </c>
      <c r="I21" s="5">
        <v>2</v>
      </c>
      <c r="J21">
        <v>106</v>
      </c>
      <c r="K21" s="5">
        <v>2</v>
      </c>
      <c r="L21" s="8">
        <v>181</v>
      </c>
      <c r="M21">
        <v>2</v>
      </c>
      <c r="N21">
        <v>109</v>
      </c>
      <c r="O21" s="5">
        <v>1</v>
      </c>
      <c r="P21">
        <v>413</v>
      </c>
      <c r="Q21" s="5"/>
    </row>
    <row r="22" spans="2:18" x14ac:dyDescent="0.2">
      <c r="B22" s="84"/>
      <c r="C22" s="83" t="s">
        <v>543</v>
      </c>
      <c r="D22" s="83" t="s">
        <v>548</v>
      </c>
      <c r="E22" s="83" t="s">
        <v>545</v>
      </c>
      <c r="F22" s="83" t="s">
        <v>54</v>
      </c>
      <c r="G22" s="5">
        <v>2</v>
      </c>
      <c r="H22" s="5">
        <v>172</v>
      </c>
      <c r="I22" s="5">
        <v>2</v>
      </c>
      <c r="J22">
        <v>112</v>
      </c>
      <c r="K22" s="5">
        <v>1</v>
      </c>
      <c r="L22" s="8">
        <v>203</v>
      </c>
      <c r="M22">
        <v>2</v>
      </c>
      <c r="N22">
        <v>116</v>
      </c>
      <c r="O22" s="5">
        <v>2</v>
      </c>
      <c r="P22">
        <v>745</v>
      </c>
      <c r="Q22" s="5"/>
    </row>
    <row r="23" spans="2:18" x14ac:dyDescent="0.2">
      <c r="B23" s="84"/>
      <c r="C23" s="83" t="s">
        <v>543</v>
      </c>
      <c r="D23" s="83" t="s">
        <v>549</v>
      </c>
      <c r="E23" s="83" t="s">
        <v>545</v>
      </c>
      <c r="F23" s="83" t="s">
        <v>54</v>
      </c>
      <c r="G23" s="5">
        <v>2</v>
      </c>
      <c r="H23" s="5">
        <v>172</v>
      </c>
      <c r="I23" s="5">
        <v>2</v>
      </c>
      <c r="J23">
        <v>128</v>
      </c>
      <c r="K23" s="5">
        <v>2</v>
      </c>
      <c r="L23" s="8">
        <v>203</v>
      </c>
      <c r="M23">
        <v>2</v>
      </c>
      <c r="N23">
        <v>121</v>
      </c>
      <c r="O23" s="5">
        <v>2</v>
      </c>
      <c r="P23">
        <v>1706</v>
      </c>
      <c r="Q23" s="5"/>
    </row>
    <row r="24" spans="2:18" x14ac:dyDescent="0.2">
      <c r="B24" s="84"/>
      <c r="C24" s="83" t="s">
        <v>543</v>
      </c>
      <c r="D24" s="83" t="s">
        <v>551</v>
      </c>
      <c r="E24" s="83" t="s">
        <v>545</v>
      </c>
      <c r="F24" s="83" t="s">
        <v>552</v>
      </c>
      <c r="G24" s="5">
        <v>2</v>
      </c>
      <c r="H24" s="5">
        <v>232</v>
      </c>
      <c r="I24" s="5">
        <v>0</v>
      </c>
      <c r="J24" s="8"/>
      <c r="K24" s="5">
        <v>1</v>
      </c>
      <c r="L24" s="8">
        <v>203</v>
      </c>
      <c r="M24">
        <v>1</v>
      </c>
      <c r="N24">
        <v>126</v>
      </c>
      <c r="O24" s="5">
        <v>0</v>
      </c>
      <c r="Q24" s="5"/>
    </row>
    <row r="25" spans="2:18" x14ac:dyDescent="0.2">
      <c r="B25" s="84"/>
      <c r="C25" s="83" t="s">
        <v>543</v>
      </c>
      <c r="D25" s="83" t="s">
        <v>553</v>
      </c>
      <c r="E25" s="83" t="s">
        <v>545</v>
      </c>
      <c r="F25" s="83" t="s">
        <v>554</v>
      </c>
      <c r="G25" s="5">
        <v>0</v>
      </c>
      <c r="H25" s="5"/>
      <c r="I25" s="5">
        <v>0</v>
      </c>
      <c r="K25" s="5">
        <v>2</v>
      </c>
      <c r="L25" s="8">
        <v>203</v>
      </c>
      <c r="M25">
        <v>2</v>
      </c>
      <c r="N25">
        <v>132</v>
      </c>
      <c r="O25" s="5">
        <v>1</v>
      </c>
      <c r="P25">
        <v>635</v>
      </c>
      <c r="Q25" s="5"/>
    </row>
    <row r="26" spans="2:18" x14ac:dyDescent="0.2">
      <c r="B26" s="88" t="s">
        <v>244</v>
      </c>
      <c r="C26" s="88"/>
      <c r="D26" s="88"/>
      <c r="E26" s="88"/>
      <c r="F26" s="88"/>
      <c r="G26" s="91">
        <f>SUM(G27:G32)/12</f>
        <v>0.33333333333333331</v>
      </c>
      <c r="H26" s="91"/>
      <c r="I26" s="91">
        <f>SUM(I27:I32)/12</f>
        <v>0.16666666666666666</v>
      </c>
      <c r="J26" s="91"/>
      <c r="K26" s="91">
        <f>SUM(K27:K32)/12</f>
        <v>1</v>
      </c>
      <c r="L26" s="91"/>
      <c r="M26" s="91">
        <f>SUM(M27:M32)/12</f>
        <v>0.83333333333333337</v>
      </c>
      <c r="N26" s="91"/>
      <c r="O26" s="91">
        <f>SUM(O27:O32)/12</f>
        <v>0.33333333333333331</v>
      </c>
      <c r="P26" s="91"/>
      <c r="Q26" s="93"/>
      <c r="R26" s="91"/>
    </row>
    <row r="27" spans="2:18" x14ac:dyDescent="0.2">
      <c r="B27" s="84"/>
      <c r="C27" s="83" t="s">
        <v>556</v>
      </c>
      <c r="D27" s="83" t="s">
        <v>557</v>
      </c>
      <c r="E27" s="83" t="s">
        <v>558</v>
      </c>
      <c r="F27" s="83" t="s">
        <v>559</v>
      </c>
      <c r="G27" s="5">
        <v>2</v>
      </c>
      <c r="H27" s="5">
        <v>373</v>
      </c>
      <c r="I27" s="5">
        <v>2</v>
      </c>
      <c r="J27">
        <v>142</v>
      </c>
      <c r="K27" s="5">
        <v>2</v>
      </c>
      <c r="L27" s="8">
        <v>218</v>
      </c>
      <c r="M27">
        <v>2</v>
      </c>
      <c r="N27">
        <v>140</v>
      </c>
      <c r="O27" s="5">
        <v>1</v>
      </c>
      <c r="P27">
        <v>2014</v>
      </c>
      <c r="Q27" s="5"/>
    </row>
    <row r="28" spans="2:18" x14ac:dyDescent="0.2">
      <c r="B28" s="84"/>
      <c r="C28" s="83" t="s">
        <v>556</v>
      </c>
      <c r="D28" s="83" t="s">
        <v>568</v>
      </c>
      <c r="E28" s="83" t="s">
        <v>558</v>
      </c>
      <c r="F28" s="83" t="s">
        <v>569</v>
      </c>
      <c r="G28" s="5">
        <v>0</v>
      </c>
      <c r="H28" s="5"/>
      <c r="I28" s="5">
        <v>0</v>
      </c>
      <c r="J28" s="8"/>
      <c r="K28" s="5">
        <v>2</v>
      </c>
      <c r="L28" s="8">
        <v>218</v>
      </c>
      <c r="M28">
        <v>2</v>
      </c>
      <c r="N28">
        <v>140</v>
      </c>
      <c r="O28" s="5">
        <v>0</v>
      </c>
      <c r="Q28" s="5"/>
    </row>
    <row r="29" spans="2:18" x14ac:dyDescent="0.2">
      <c r="B29" s="84"/>
      <c r="C29" s="83" t="s">
        <v>556</v>
      </c>
      <c r="D29" s="83" t="s">
        <v>573</v>
      </c>
      <c r="E29" s="83" t="s">
        <v>558</v>
      </c>
      <c r="F29" s="83" t="s">
        <v>574</v>
      </c>
      <c r="G29" s="5">
        <v>0</v>
      </c>
      <c r="H29" s="5"/>
      <c r="I29" s="5">
        <v>0</v>
      </c>
      <c r="K29" s="5">
        <v>2</v>
      </c>
      <c r="L29" s="8">
        <v>218</v>
      </c>
      <c r="M29">
        <v>2</v>
      </c>
      <c r="N29">
        <v>140</v>
      </c>
      <c r="O29" s="5">
        <v>0</v>
      </c>
      <c r="Q29" s="5"/>
    </row>
    <row r="30" spans="2:18" x14ac:dyDescent="0.2">
      <c r="B30" s="84"/>
      <c r="C30" s="83" t="s">
        <v>556</v>
      </c>
      <c r="D30" s="83" t="s">
        <v>575</v>
      </c>
      <c r="E30" s="83" t="s">
        <v>558</v>
      </c>
      <c r="F30" s="83" t="s">
        <v>54</v>
      </c>
      <c r="G30" s="5">
        <v>2</v>
      </c>
      <c r="H30" s="5">
        <v>397</v>
      </c>
      <c r="I30" s="5">
        <v>0</v>
      </c>
      <c r="K30" s="5">
        <v>2</v>
      </c>
      <c r="L30" s="8">
        <v>232</v>
      </c>
      <c r="M30">
        <v>2</v>
      </c>
      <c r="N30">
        <v>149</v>
      </c>
      <c r="O30" s="5">
        <v>1</v>
      </c>
      <c r="P30">
        <v>863</v>
      </c>
      <c r="Q30" s="5"/>
    </row>
    <row r="31" spans="2:18" x14ac:dyDescent="0.2">
      <c r="B31" s="84"/>
      <c r="C31" s="83" t="s">
        <v>556</v>
      </c>
      <c r="D31" s="83" t="s">
        <v>576</v>
      </c>
      <c r="E31" s="83" t="s">
        <v>558</v>
      </c>
      <c r="F31" s="83" t="s">
        <v>54</v>
      </c>
      <c r="G31" s="5">
        <v>0</v>
      </c>
      <c r="H31" s="5"/>
      <c r="I31" s="5">
        <v>0</v>
      </c>
      <c r="J31" s="8"/>
      <c r="K31" s="5">
        <v>2</v>
      </c>
      <c r="L31" s="8">
        <v>232</v>
      </c>
      <c r="M31">
        <v>0</v>
      </c>
      <c r="O31" s="5"/>
      <c r="Q31" s="5"/>
    </row>
    <row r="32" spans="2:18" x14ac:dyDescent="0.2">
      <c r="B32" s="84"/>
      <c r="C32" s="83" t="s">
        <v>556</v>
      </c>
      <c r="D32" s="83" t="s">
        <v>579</v>
      </c>
      <c r="E32" s="83" t="s">
        <v>558</v>
      </c>
      <c r="F32" s="83" t="s">
        <v>280</v>
      </c>
      <c r="G32" s="5">
        <v>0</v>
      </c>
      <c r="H32" s="5"/>
      <c r="I32" s="5">
        <v>0</v>
      </c>
      <c r="K32" s="5">
        <v>2</v>
      </c>
      <c r="L32" s="8">
        <v>232</v>
      </c>
      <c r="M32">
        <v>2</v>
      </c>
      <c r="N32">
        <v>154</v>
      </c>
      <c r="O32" s="5">
        <v>2</v>
      </c>
      <c r="P32">
        <v>848</v>
      </c>
      <c r="Q32" s="5"/>
    </row>
    <row r="33" spans="2:18" x14ac:dyDescent="0.2">
      <c r="B33" s="88" t="s">
        <v>255</v>
      </c>
      <c r="C33" s="88"/>
      <c r="D33" s="88"/>
      <c r="E33" s="88"/>
      <c r="F33" s="88"/>
      <c r="G33" s="91">
        <f>SUM(G34:G41)/14</f>
        <v>0.42857142857142855</v>
      </c>
      <c r="H33" s="91"/>
      <c r="I33" s="91">
        <f>SUM(I34:I41)/14</f>
        <v>0.42857142857142855</v>
      </c>
      <c r="J33" s="91"/>
      <c r="K33" s="91">
        <f>SUM(K34:K41)/14</f>
        <v>1</v>
      </c>
      <c r="L33" s="91"/>
      <c r="M33" s="91">
        <f>SUM(M34:M41)/14</f>
        <v>0.7142857142857143</v>
      </c>
      <c r="N33" s="91"/>
      <c r="O33" s="91">
        <f>SUM(O34:O41)/14</f>
        <v>0.2857142857142857</v>
      </c>
      <c r="P33" s="91"/>
      <c r="Q33" s="93"/>
      <c r="R33" s="91"/>
    </row>
    <row r="34" spans="2:18" x14ac:dyDescent="0.2">
      <c r="B34" s="84"/>
      <c r="C34" s="83" t="s">
        <v>581</v>
      </c>
      <c r="D34" s="83" t="s">
        <v>582</v>
      </c>
      <c r="E34" s="83" t="s">
        <v>581</v>
      </c>
      <c r="F34" s="83">
        <v>2</v>
      </c>
      <c r="G34" s="5">
        <v>2</v>
      </c>
      <c r="H34" s="5">
        <v>88</v>
      </c>
      <c r="I34" s="5">
        <v>2</v>
      </c>
      <c r="J34">
        <v>151</v>
      </c>
      <c r="K34" s="5">
        <v>2</v>
      </c>
      <c r="L34" s="8">
        <v>242</v>
      </c>
      <c r="M34">
        <v>2</v>
      </c>
      <c r="N34">
        <v>162</v>
      </c>
      <c r="O34" s="5">
        <v>1</v>
      </c>
      <c r="P34">
        <v>442</v>
      </c>
      <c r="Q34" s="5"/>
    </row>
    <row r="35" spans="2:18" x14ac:dyDescent="0.2">
      <c r="B35" s="84"/>
      <c r="C35" s="83" t="s">
        <v>581</v>
      </c>
      <c r="D35" s="83" t="s">
        <v>585</v>
      </c>
      <c r="E35" s="83" t="s">
        <v>581</v>
      </c>
      <c r="F35" s="83">
        <v>-1</v>
      </c>
      <c r="G35" s="5">
        <v>0</v>
      </c>
      <c r="H35" s="5"/>
      <c r="I35" s="5">
        <v>0</v>
      </c>
      <c r="J35" s="8"/>
      <c r="K35" s="5">
        <v>2</v>
      </c>
      <c r="L35" s="8">
        <v>242</v>
      </c>
      <c r="M35">
        <v>2</v>
      </c>
      <c r="N35">
        <v>162</v>
      </c>
      <c r="O35" s="5">
        <v>0</v>
      </c>
      <c r="Q35" s="5"/>
    </row>
    <row r="36" spans="2:18" x14ac:dyDescent="0.2">
      <c r="B36" s="84"/>
      <c r="C36" s="83" t="s">
        <v>586</v>
      </c>
      <c r="D36" s="83" t="s">
        <v>582</v>
      </c>
      <c r="E36" s="83" t="s">
        <v>586</v>
      </c>
      <c r="F36" s="83">
        <v>235</v>
      </c>
      <c r="G36" s="5">
        <v>2</v>
      </c>
      <c r="H36" s="5">
        <v>88</v>
      </c>
      <c r="I36" s="5">
        <v>2</v>
      </c>
      <c r="J36" s="8">
        <v>151</v>
      </c>
      <c r="K36" s="5">
        <v>2</v>
      </c>
      <c r="L36" s="8">
        <v>242</v>
      </c>
      <c r="M36">
        <v>2</v>
      </c>
      <c r="N36">
        <v>162</v>
      </c>
      <c r="O36" s="5">
        <v>0</v>
      </c>
      <c r="Q36" s="5"/>
    </row>
    <row r="37" spans="2:18" x14ac:dyDescent="0.2">
      <c r="B37" s="84"/>
      <c r="C37" s="83" t="s">
        <v>586</v>
      </c>
      <c r="D37" s="83" t="s">
        <v>587</v>
      </c>
      <c r="E37" s="83" t="s">
        <v>586</v>
      </c>
      <c r="F37" s="83">
        <v>100</v>
      </c>
      <c r="G37" s="5">
        <v>0</v>
      </c>
      <c r="H37" s="5"/>
      <c r="I37" s="5">
        <v>0</v>
      </c>
      <c r="K37" s="5">
        <v>2</v>
      </c>
      <c r="L37" s="8">
        <v>242</v>
      </c>
      <c r="M37">
        <v>0</v>
      </c>
      <c r="O37" s="5">
        <v>1</v>
      </c>
      <c r="P37">
        <v>2216</v>
      </c>
      <c r="Q37" s="5"/>
    </row>
    <row r="38" spans="2:18" x14ac:dyDescent="0.2">
      <c r="B38" s="84"/>
      <c r="C38" s="83" t="s">
        <v>588</v>
      </c>
      <c r="D38" s="83" t="s">
        <v>582</v>
      </c>
      <c r="E38" s="83" t="s">
        <v>588</v>
      </c>
      <c r="F38" s="83">
        <v>35</v>
      </c>
      <c r="G38" s="5">
        <v>2</v>
      </c>
      <c r="H38" s="5">
        <v>88</v>
      </c>
      <c r="I38" s="5">
        <v>2</v>
      </c>
      <c r="J38">
        <v>151</v>
      </c>
      <c r="K38" s="5">
        <v>2</v>
      </c>
      <c r="L38" s="8">
        <v>242</v>
      </c>
      <c r="M38">
        <v>2</v>
      </c>
      <c r="N38">
        <v>162</v>
      </c>
      <c r="O38" s="5">
        <v>2</v>
      </c>
      <c r="P38">
        <v>1799</v>
      </c>
      <c r="Q38" s="5"/>
    </row>
    <row r="39" spans="2:18" x14ac:dyDescent="0.2">
      <c r="B39" s="84"/>
      <c r="C39" s="83" t="s">
        <v>588</v>
      </c>
      <c r="D39" s="83" t="s">
        <v>589</v>
      </c>
      <c r="E39" s="83" t="s">
        <v>588</v>
      </c>
      <c r="F39" s="83">
        <v>-35</v>
      </c>
      <c r="G39" s="5">
        <v>0</v>
      </c>
      <c r="H39" s="5"/>
      <c r="I39" s="5">
        <v>0</v>
      </c>
      <c r="K39" s="5">
        <v>2</v>
      </c>
      <c r="L39" s="8">
        <v>242</v>
      </c>
      <c r="M39">
        <v>2</v>
      </c>
      <c r="N39">
        <v>162</v>
      </c>
      <c r="O39" s="5">
        <v>0</v>
      </c>
      <c r="Q39" s="5"/>
    </row>
    <row r="40" spans="2:18" x14ac:dyDescent="0.2">
      <c r="B40" s="84"/>
      <c r="C40" s="83" t="s">
        <v>588</v>
      </c>
      <c r="D40" s="83" t="s">
        <v>587</v>
      </c>
      <c r="E40" s="83" t="s">
        <v>588</v>
      </c>
      <c r="F40" s="83">
        <v>0</v>
      </c>
      <c r="G40" s="5">
        <v>0</v>
      </c>
      <c r="H40" s="5"/>
      <c r="I40" s="5">
        <v>0</v>
      </c>
      <c r="K40" s="5">
        <v>2</v>
      </c>
      <c r="L40" s="8">
        <v>242</v>
      </c>
      <c r="M40">
        <v>0</v>
      </c>
      <c r="O40" s="5">
        <v>0</v>
      </c>
      <c r="Q40" s="5"/>
    </row>
    <row r="41" spans="2:18" x14ac:dyDescent="0.2">
      <c r="B41" s="84"/>
      <c r="C41" s="84"/>
      <c r="D41" s="84"/>
      <c r="E41" s="84"/>
      <c r="F41" s="84"/>
      <c r="G41" s="5"/>
      <c r="H41" s="5"/>
      <c r="I41" s="5"/>
      <c r="K41" s="5"/>
      <c r="L41" s="8"/>
      <c r="O41" s="5"/>
      <c r="Q41" s="5"/>
    </row>
    <row r="42" spans="2:18" x14ac:dyDescent="0.2">
      <c r="B42" s="88" t="s">
        <v>265</v>
      </c>
      <c r="C42" s="88"/>
      <c r="D42" s="88"/>
      <c r="E42" s="88"/>
      <c r="F42" s="88"/>
      <c r="G42" s="91">
        <f>SUM(G43:G53)/22</f>
        <v>0.36363636363636365</v>
      </c>
      <c r="H42" s="91"/>
      <c r="I42" s="91">
        <f>SUM(I43:I53)/22</f>
        <v>0.72727272727272729</v>
      </c>
      <c r="J42" s="91"/>
      <c r="K42" s="91">
        <f>SUM(K43:K53)/22</f>
        <v>1</v>
      </c>
      <c r="L42" s="91"/>
      <c r="M42" s="91">
        <f>SUM(M43:M53)/22</f>
        <v>0.72727272727272729</v>
      </c>
      <c r="N42" s="91"/>
      <c r="O42" s="91">
        <f>SUM(O43:O53)/22</f>
        <v>0.72727272727272729</v>
      </c>
      <c r="P42" s="91"/>
      <c r="Q42" s="93"/>
      <c r="R42" s="91"/>
    </row>
    <row r="43" spans="2:18" x14ac:dyDescent="0.2">
      <c r="B43" s="84"/>
      <c r="C43" s="83" t="s">
        <v>591</v>
      </c>
      <c r="D43" s="83" t="s">
        <v>592</v>
      </c>
      <c r="E43" s="83" t="s">
        <v>591</v>
      </c>
      <c r="F43" s="83" t="b">
        <v>1</v>
      </c>
      <c r="G43" s="5">
        <v>2</v>
      </c>
      <c r="H43" s="5">
        <v>131</v>
      </c>
      <c r="I43" s="5">
        <v>2</v>
      </c>
      <c r="J43">
        <v>166</v>
      </c>
      <c r="K43" s="5">
        <v>2</v>
      </c>
      <c r="L43" s="8">
        <v>268</v>
      </c>
      <c r="M43">
        <v>2</v>
      </c>
      <c r="N43">
        <v>180</v>
      </c>
      <c r="O43" s="5">
        <v>2</v>
      </c>
      <c r="P43">
        <v>1791</v>
      </c>
      <c r="Q43" s="5"/>
    </row>
    <row r="44" spans="2:18" x14ac:dyDescent="0.2">
      <c r="B44" s="84"/>
      <c r="C44" s="83" t="s">
        <v>591</v>
      </c>
      <c r="D44" s="83" t="s">
        <v>593</v>
      </c>
      <c r="E44" s="83" t="s">
        <v>591</v>
      </c>
      <c r="F44" s="83" t="b">
        <v>0</v>
      </c>
      <c r="G44" s="5">
        <v>2</v>
      </c>
      <c r="H44" s="5">
        <v>88</v>
      </c>
      <c r="I44" s="5">
        <v>2</v>
      </c>
      <c r="J44">
        <v>166</v>
      </c>
      <c r="K44" s="5">
        <v>2</v>
      </c>
      <c r="L44" s="8">
        <v>268</v>
      </c>
      <c r="M44">
        <v>2</v>
      </c>
      <c r="N44">
        <v>180</v>
      </c>
      <c r="O44" s="5">
        <v>0</v>
      </c>
      <c r="Q44" s="5"/>
    </row>
    <row r="45" spans="2:18" x14ac:dyDescent="0.2">
      <c r="B45" s="84"/>
      <c r="C45" s="83" t="s">
        <v>591</v>
      </c>
      <c r="D45" s="83" t="s">
        <v>594</v>
      </c>
      <c r="E45" s="83" t="s">
        <v>591</v>
      </c>
      <c r="F45" s="83" t="b">
        <v>0</v>
      </c>
      <c r="G45" s="5">
        <v>0</v>
      </c>
      <c r="H45" s="5"/>
      <c r="I45" s="5">
        <v>0</v>
      </c>
      <c r="K45" s="5">
        <v>2</v>
      </c>
      <c r="L45" s="8">
        <v>268</v>
      </c>
      <c r="M45">
        <v>0</v>
      </c>
      <c r="O45" s="5">
        <v>2</v>
      </c>
      <c r="P45">
        <v>189</v>
      </c>
      <c r="Q45" s="5"/>
    </row>
    <row r="46" spans="2:18" x14ac:dyDescent="0.2">
      <c r="B46" s="84"/>
      <c r="C46" s="83" t="s">
        <v>595</v>
      </c>
      <c r="D46" s="83" t="s">
        <v>593</v>
      </c>
      <c r="E46" s="83" t="s">
        <v>595</v>
      </c>
      <c r="F46" s="83" t="b">
        <v>1</v>
      </c>
      <c r="G46" s="5">
        <v>2</v>
      </c>
      <c r="H46" s="5">
        <v>88</v>
      </c>
      <c r="I46" s="5">
        <v>2</v>
      </c>
      <c r="J46">
        <v>166</v>
      </c>
      <c r="K46" s="5">
        <v>2</v>
      </c>
      <c r="L46" s="8">
        <v>268</v>
      </c>
      <c r="M46">
        <v>2</v>
      </c>
      <c r="N46">
        <v>180</v>
      </c>
      <c r="O46" s="5">
        <v>2</v>
      </c>
      <c r="P46">
        <v>219</v>
      </c>
      <c r="Q46" s="5"/>
    </row>
    <row r="47" spans="2:18" x14ac:dyDescent="0.2">
      <c r="B47" s="84"/>
      <c r="C47" s="83" t="s">
        <v>595</v>
      </c>
      <c r="D47" s="83" t="s">
        <v>592</v>
      </c>
      <c r="E47" s="83" t="s">
        <v>595</v>
      </c>
      <c r="F47" s="83" t="b">
        <v>0</v>
      </c>
      <c r="G47" s="5">
        <v>0</v>
      </c>
      <c r="H47" s="5"/>
      <c r="I47" s="5">
        <v>0</v>
      </c>
      <c r="J47" s="8"/>
      <c r="K47" s="5">
        <v>2</v>
      </c>
      <c r="L47" s="8">
        <v>268</v>
      </c>
      <c r="M47">
        <v>2</v>
      </c>
      <c r="N47">
        <v>180</v>
      </c>
      <c r="O47" s="5">
        <v>2</v>
      </c>
      <c r="P47">
        <v>2006</v>
      </c>
      <c r="Q47" s="5"/>
    </row>
    <row r="48" spans="2:18" x14ac:dyDescent="0.2">
      <c r="B48" s="84"/>
      <c r="C48" s="83" t="s">
        <v>595</v>
      </c>
      <c r="D48" s="83" t="s">
        <v>596</v>
      </c>
      <c r="E48" s="83" t="s">
        <v>595</v>
      </c>
      <c r="F48" s="83" t="b">
        <v>0</v>
      </c>
      <c r="G48" s="5">
        <v>0</v>
      </c>
      <c r="H48" s="5"/>
      <c r="I48" s="5">
        <v>2</v>
      </c>
      <c r="J48" s="8">
        <v>166</v>
      </c>
      <c r="K48" s="5">
        <v>2</v>
      </c>
      <c r="L48" s="8">
        <v>268</v>
      </c>
      <c r="M48">
        <v>0</v>
      </c>
      <c r="O48" s="5">
        <v>0</v>
      </c>
      <c r="Q48" s="5"/>
    </row>
    <row r="49" spans="2:18" x14ac:dyDescent="0.2">
      <c r="B49" s="84"/>
      <c r="C49" s="83" t="s">
        <v>597</v>
      </c>
      <c r="D49" s="83" t="s">
        <v>592</v>
      </c>
      <c r="E49" s="83" t="s">
        <v>597</v>
      </c>
      <c r="F49" s="83" t="b">
        <v>1</v>
      </c>
      <c r="G49" s="5">
        <v>0</v>
      </c>
      <c r="H49" s="5"/>
      <c r="I49" s="5">
        <v>2</v>
      </c>
      <c r="J49" s="8">
        <v>166</v>
      </c>
      <c r="K49" s="5">
        <v>2</v>
      </c>
      <c r="L49" s="8">
        <v>268</v>
      </c>
      <c r="M49">
        <v>2</v>
      </c>
      <c r="N49">
        <v>180</v>
      </c>
      <c r="O49" s="5">
        <v>2</v>
      </c>
      <c r="P49">
        <v>1832</v>
      </c>
      <c r="Q49" s="5"/>
    </row>
    <row r="50" spans="2:18" x14ac:dyDescent="0.2">
      <c r="B50" s="84"/>
      <c r="C50" s="83" t="s">
        <v>598</v>
      </c>
      <c r="D50" s="83" t="s">
        <v>596</v>
      </c>
      <c r="E50" s="83" t="s">
        <v>598</v>
      </c>
      <c r="F50" s="83" t="b">
        <v>1</v>
      </c>
      <c r="G50" s="5">
        <v>0</v>
      </c>
      <c r="H50" s="5"/>
      <c r="I50" s="5">
        <v>2</v>
      </c>
      <c r="J50" s="8">
        <v>166</v>
      </c>
      <c r="K50" s="5">
        <v>2</v>
      </c>
      <c r="L50" s="8">
        <v>268</v>
      </c>
      <c r="M50">
        <v>2</v>
      </c>
      <c r="N50">
        <v>180</v>
      </c>
      <c r="O50" s="5">
        <v>2</v>
      </c>
      <c r="P50">
        <v>1594</v>
      </c>
      <c r="Q50" s="5"/>
    </row>
    <row r="51" spans="2:18" x14ac:dyDescent="0.2">
      <c r="B51" s="84"/>
      <c r="C51" s="83" t="s">
        <v>598</v>
      </c>
      <c r="D51" s="83" t="s">
        <v>592</v>
      </c>
      <c r="E51" s="83" t="s">
        <v>598</v>
      </c>
      <c r="F51" s="83" t="b">
        <v>0</v>
      </c>
      <c r="G51" s="5">
        <v>0</v>
      </c>
      <c r="H51" s="5"/>
      <c r="I51" s="5">
        <v>0</v>
      </c>
      <c r="K51" s="5">
        <v>2</v>
      </c>
      <c r="L51" s="8">
        <v>268</v>
      </c>
      <c r="M51">
        <v>2</v>
      </c>
      <c r="N51">
        <v>180</v>
      </c>
      <c r="O51" s="5">
        <v>0</v>
      </c>
      <c r="Q51" s="5"/>
    </row>
    <row r="52" spans="2:18" x14ac:dyDescent="0.2">
      <c r="B52" s="84"/>
      <c r="C52" s="83" t="s">
        <v>598</v>
      </c>
      <c r="D52" s="83" t="s">
        <v>599</v>
      </c>
      <c r="E52" s="83" t="s">
        <v>598</v>
      </c>
      <c r="F52" s="83" t="b">
        <v>0</v>
      </c>
      <c r="G52" s="5">
        <v>2</v>
      </c>
      <c r="H52" s="5">
        <v>88</v>
      </c>
      <c r="I52" s="5">
        <v>2</v>
      </c>
      <c r="J52">
        <v>166</v>
      </c>
      <c r="K52" s="5">
        <v>2</v>
      </c>
      <c r="L52" s="8">
        <v>268</v>
      </c>
      <c r="M52">
        <v>0</v>
      </c>
      <c r="O52" s="5">
        <v>2</v>
      </c>
      <c r="P52">
        <v>237</v>
      </c>
      <c r="Q52" s="5"/>
    </row>
    <row r="53" spans="2:18" x14ac:dyDescent="0.2">
      <c r="B53" s="84"/>
      <c r="C53" s="83" t="s">
        <v>600</v>
      </c>
      <c r="D53" s="83" t="s">
        <v>592</v>
      </c>
      <c r="E53" s="83" t="s">
        <v>600</v>
      </c>
      <c r="F53" s="83" t="b">
        <v>1</v>
      </c>
      <c r="G53" s="5">
        <v>0</v>
      </c>
      <c r="H53" s="5"/>
      <c r="I53" s="5">
        <v>2</v>
      </c>
      <c r="J53">
        <v>166</v>
      </c>
      <c r="K53" s="5">
        <v>2</v>
      </c>
      <c r="L53" s="8">
        <v>268</v>
      </c>
      <c r="M53">
        <v>2</v>
      </c>
      <c r="N53">
        <v>180</v>
      </c>
      <c r="O53" s="5">
        <v>2</v>
      </c>
      <c r="P53">
        <v>229</v>
      </c>
      <c r="Q53" s="5"/>
    </row>
    <row r="54" spans="2:18" x14ac:dyDescent="0.2">
      <c r="B54" s="88" t="s">
        <v>353</v>
      </c>
      <c r="C54" s="88"/>
      <c r="D54" s="88"/>
      <c r="E54" s="88"/>
      <c r="F54" s="88"/>
      <c r="G54" s="91">
        <f>SUM(G55:G57)/6</f>
        <v>0.66666666666666663</v>
      </c>
      <c r="H54" s="91"/>
      <c r="I54" s="91">
        <f>SUM(I55:I57)/6</f>
        <v>0.33333333333333331</v>
      </c>
      <c r="J54" s="91"/>
      <c r="K54" s="91">
        <f>SUM(K55:K57)/6</f>
        <v>1</v>
      </c>
      <c r="L54" s="91"/>
      <c r="M54" s="91">
        <f>SUM(M55:M57)/6</f>
        <v>0.83333333333333337</v>
      </c>
      <c r="N54" s="91"/>
      <c r="O54" s="91">
        <f>SUM(O55:O57)/6</f>
        <v>1</v>
      </c>
      <c r="P54" s="91"/>
      <c r="Q54" s="93"/>
      <c r="R54" s="91"/>
    </row>
    <row r="55" spans="2:18" x14ac:dyDescent="0.2">
      <c r="B55" s="84"/>
      <c r="C55" s="83" t="s">
        <v>601</v>
      </c>
      <c r="D55" s="83" t="s">
        <v>602</v>
      </c>
      <c r="E55" s="83" t="s">
        <v>603</v>
      </c>
      <c r="F55" s="83" t="s">
        <v>604</v>
      </c>
      <c r="G55" s="5">
        <v>2</v>
      </c>
      <c r="H55" s="5">
        <v>251</v>
      </c>
      <c r="I55" s="5">
        <v>2</v>
      </c>
      <c r="J55">
        <v>189</v>
      </c>
      <c r="K55" s="5">
        <v>2</v>
      </c>
      <c r="L55" s="8">
        <v>292</v>
      </c>
      <c r="M55">
        <v>2</v>
      </c>
      <c r="N55">
        <v>206</v>
      </c>
      <c r="O55" s="5">
        <v>2</v>
      </c>
      <c r="P55">
        <v>1989</v>
      </c>
      <c r="Q55" s="5"/>
    </row>
    <row r="56" spans="2:18" x14ac:dyDescent="0.2">
      <c r="B56" s="84"/>
      <c r="C56" s="83" t="s">
        <v>601</v>
      </c>
      <c r="D56" s="83" t="s">
        <v>613</v>
      </c>
      <c r="E56" s="83" t="s">
        <v>610</v>
      </c>
      <c r="F56" s="83" t="s">
        <v>511</v>
      </c>
      <c r="G56" s="5">
        <v>0</v>
      </c>
      <c r="H56" s="5"/>
      <c r="I56" s="5">
        <v>0</v>
      </c>
      <c r="K56" s="5">
        <v>2</v>
      </c>
      <c r="L56" s="8">
        <v>292</v>
      </c>
      <c r="M56">
        <v>2</v>
      </c>
      <c r="N56">
        <v>214</v>
      </c>
      <c r="O56" s="5">
        <v>2</v>
      </c>
      <c r="P56">
        <v>562</v>
      </c>
      <c r="Q56" s="5"/>
    </row>
    <row r="57" spans="2:18" x14ac:dyDescent="0.2">
      <c r="B57" s="84"/>
      <c r="C57" s="83" t="s">
        <v>601</v>
      </c>
      <c r="D57" s="83" t="s">
        <v>613</v>
      </c>
      <c r="E57" s="83" t="s">
        <v>614</v>
      </c>
      <c r="F57" s="83" t="s">
        <v>615</v>
      </c>
      <c r="G57" s="5">
        <v>2</v>
      </c>
      <c r="H57" s="5">
        <v>251</v>
      </c>
      <c r="I57" s="5">
        <v>0</v>
      </c>
      <c r="K57" s="5">
        <v>2</v>
      </c>
      <c r="L57" s="8">
        <v>292</v>
      </c>
      <c r="M57">
        <v>1</v>
      </c>
      <c r="N57">
        <v>206</v>
      </c>
      <c r="O57" s="5">
        <v>2</v>
      </c>
      <c r="P57">
        <v>47</v>
      </c>
      <c r="Q57" s="5"/>
    </row>
    <row r="58" spans="2:18" x14ac:dyDescent="0.2">
      <c r="B58" s="88" t="s">
        <v>368</v>
      </c>
      <c r="C58" s="88"/>
      <c r="D58" s="88"/>
      <c r="E58" s="88"/>
      <c r="F58" s="88"/>
      <c r="G58" s="91">
        <f>SUM(G59:G61)/6</f>
        <v>0.66666666666666663</v>
      </c>
      <c r="H58" s="91"/>
      <c r="I58" s="91">
        <f>SUM(I59:I61)/6</f>
        <v>0</v>
      </c>
      <c r="J58" s="91"/>
      <c r="K58" s="91">
        <f>SUM(K59:K61)/6</f>
        <v>1</v>
      </c>
      <c r="L58" s="91"/>
      <c r="M58" s="91">
        <f>SUM(M59:M61)/6</f>
        <v>1</v>
      </c>
      <c r="N58" s="91"/>
      <c r="O58" s="91">
        <f>SUM(O59:O61)/6</f>
        <v>0.5</v>
      </c>
      <c r="P58" s="91"/>
      <c r="Q58" s="93"/>
      <c r="R58" s="91"/>
    </row>
    <row r="59" spans="2:18" x14ac:dyDescent="0.2">
      <c r="B59" s="84"/>
      <c r="C59" s="83" t="s">
        <v>617</v>
      </c>
      <c r="D59" s="83" t="s">
        <v>508</v>
      </c>
      <c r="E59" s="83" t="s">
        <v>618</v>
      </c>
      <c r="F59" s="83" t="s">
        <v>619</v>
      </c>
      <c r="G59" s="5">
        <v>2</v>
      </c>
      <c r="H59" s="5">
        <v>265</v>
      </c>
      <c r="I59" s="5">
        <v>0</v>
      </c>
      <c r="K59" s="5">
        <v>2</v>
      </c>
      <c r="L59" s="8">
        <v>311</v>
      </c>
      <c r="M59">
        <v>2</v>
      </c>
      <c r="N59">
        <v>222</v>
      </c>
      <c r="O59" s="5">
        <v>0</v>
      </c>
      <c r="Q59" s="5"/>
    </row>
    <row r="60" spans="2:18" x14ac:dyDescent="0.2">
      <c r="B60" s="84"/>
      <c r="C60" s="83" t="s">
        <v>617</v>
      </c>
      <c r="D60" s="83" t="s">
        <v>508</v>
      </c>
      <c r="E60" s="83" t="s">
        <v>622</v>
      </c>
      <c r="F60" s="83" t="s">
        <v>511</v>
      </c>
      <c r="G60" s="5">
        <v>0</v>
      </c>
      <c r="H60" s="5"/>
      <c r="I60" s="5">
        <v>0</v>
      </c>
      <c r="K60" s="5">
        <v>2</v>
      </c>
      <c r="L60" s="8">
        <v>311</v>
      </c>
      <c r="M60">
        <v>2</v>
      </c>
      <c r="N60">
        <v>228</v>
      </c>
      <c r="O60" s="5">
        <v>2</v>
      </c>
      <c r="P60">
        <v>598</v>
      </c>
      <c r="Q60" s="5"/>
    </row>
    <row r="61" spans="2:18" x14ac:dyDescent="0.2">
      <c r="B61" s="84"/>
      <c r="C61" s="83" t="s">
        <v>617</v>
      </c>
      <c r="D61" s="83" t="s">
        <v>508</v>
      </c>
      <c r="E61" s="83" t="s">
        <v>623</v>
      </c>
      <c r="F61" s="83" t="s">
        <v>624</v>
      </c>
      <c r="G61" s="5">
        <v>2</v>
      </c>
      <c r="H61" s="5">
        <v>265</v>
      </c>
      <c r="I61" s="5">
        <v>0</v>
      </c>
      <c r="K61" s="5">
        <v>2</v>
      </c>
      <c r="L61" s="8">
        <v>311</v>
      </c>
      <c r="M61">
        <v>2</v>
      </c>
      <c r="N61">
        <v>222</v>
      </c>
      <c r="O61" s="5">
        <v>1</v>
      </c>
      <c r="P61">
        <v>2216</v>
      </c>
      <c r="Q61" s="5"/>
    </row>
    <row r="62" spans="2:18" x14ac:dyDescent="0.2">
      <c r="B62" s="88" t="s">
        <v>629</v>
      </c>
      <c r="C62" s="88"/>
      <c r="D62" s="88"/>
      <c r="E62" s="88"/>
      <c r="F62" s="88"/>
      <c r="G62" s="91">
        <f>SUM(G63:G72)/20</f>
        <v>0.7</v>
      </c>
      <c r="H62" s="91"/>
      <c r="I62" s="91">
        <f>SUM(I63:I72)/20</f>
        <v>0.2</v>
      </c>
      <c r="J62" s="91"/>
      <c r="K62" s="91">
        <f>SUM(K63:K72)/20</f>
        <v>1</v>
      </c>
      <c r="L62" s="91"/>
      <c r="M62" s="91">
        <f>SUM(M63:M72)/20</f>
        <v>0.5</v>
      </c>
      <c r="N62" s="91"/>
      <c r="O62" s="91">
        <f>SUM(O63:O72)/20</f>
        <v>0.4</v>
      </c>
      <c r="P62" s="91"/>
      <c r="Q62" s="93"/>
      <c r="R62" s="91"/>
    </row>
    <row r="63" spans="2:18" x14ac:dyDescent="0.2">
      <c r="B63" s="84"/>
      <c r="C63" s="83" t="s">
        <v>630</v>
      </c>
      <c r="D63" s="83" t="s">
        <v>631</v>
      </c>
      <c r="E63" s="83" t="s">
        <v>632</v>
      </c>
      <c r="F63" s="83" t="s">
        <v>633</v>
      </c>
      <c r="G63" s="5">
        <v>2</v>
      </c>
      <c r="H63" s="5">
        <v>291</v>
      </c>
      <c r="I63" s="5">
        <v>2</v>
      </c>
      <c r="J63">
        <v>196</v>
      </c>
      <c r="K63" s="5">
        <v>2</v>
      </c>
      <c r="L63" s="8">
        <v>328</v>
      </c>
      <c r="M63">
        <v>2</v>
      </c>
      <c r="N63">
        <v>237</v>
      </c>
      <c r="O63" s="5">
        <v>0</v>
      </c>
      <c r="Q63" s="5"/>
    </row>
    <row r="64" spans="2:18" x14ac:dyDescent="0.2">
      <c r="B64" s="84"/>
      <c r="C64" s="83" t="s">
        <v>630</v>
      </c>
      <c r="D64" s="83" t="s">
        <v>631</v>
      </c>
      <c r="E64" s="83" t="s">
        <v>638</v>
      </c>
      <c r="F64" s="83" t="s">
        <v>511</v>
      </c>
      <c r="G64" s="5">
        <v>0</v>
      </c>
      <c r="H64" s="5"/>
      <c r="I64" s="5">
        <v>0</v>
      </c>
      <c r="J64" s="8"/>
      <c r="K64" s="5">
        <v>2</v>
      </c>
      <c r="L64" s="8">
        <v>328</v>
      </c>
      <c r="M64">
        <v>0</v>
      </c>
      <c r="O64" s="5">
        <v>2</v>
      </c>
      <c r="P64">
        <v>815</v>
      </c>
      <c r="Q64" s="5"/>
    </row>
    <row r="65" spans="2:18" x14ac:dyDescent="0.2">
      <c r="B65" s="84"/>
      <c r="C65" s="83" t="s">
        <v>630</v>
      </c>
      <c r="D65" s="83" t="s">
        <v>631</v>
      </c>
      <c r="E65" s="83" t="s">
        <v>643</v>
      </c>
      <c r="F65" s="83" t="s">
        <v>554</v>
      </c>
      <c r="G65" s="5">
        <v>0</v>
      </c>
      <c r="H65" s="5"/>
      <c r="I65" s="5">
        <v>0</v>
      </c>
      <c r="K65" s="5">
        <v>2</v>
      </c>
      <c r="L65" s="8">
        <v>328</v>
      </c>
      <c r="M65">
        <v>0</v>
      </c>
      <c r="O65" s="5">
        <v>0</v>
      </c>
      <c r="Q65" s="5"/>
    </row>
    <row r="66" spans="2:18" x14ac:dyDescent="0.2">
      <c r="B66" s="84"/>
      <c r="C66" s="83" t="s">
        <v>644</v>
      </c>
      <c r="D66" s="83" t="s">
        <v>631</v>
      </c>
      <c r="E66" s="83" t="s">
        <v>645</v>
      </c>
      <c r="F66" s="83" t="s">
        <v>646</v>
      </c>
      <c r="G66" s="5">
        <v>2</v>
      </c>
      <c r="H66" s="5">
        <v>291</v>
      </c>
      <c r="I66" s="5">
        <v>2</v>
      </c>
      <c r="J66">
        <v>214</v>
      </c>
      <c r="K66" s="5">
        <v>2</v>
      </c>
      <c r="L66" s="8">
        <v>328</v>
      </c>
      <c r="M66">
        <v>2</v>
      </c>
      <c r="N66">
        <v>237</v>
      </c>
      <c r="O66" s="5">
        <v>0</v>
      </c>
      <c r="Q66" s="5"/>
    </row>
    <row r="67" spans="2:18" x14ac:dyDescent="0.2">
      <c r="B67" s="84"/>
      <c r="C67" s="83" t="s">
        <v>644</v>
      </c>
      <c r="D67" s="83" t="s">
        <v>631</v>
      </c>
      <c r="E67" s="83" t="s">
        <v>652</v>
      </c>
      <c r="F67" s="83" t="s">
        <v>637</v>
      </c>
      <c r="G67" s="5">
        <v>2</v>
      </c>
      <c r="H67" s="5">
        <v>454</v>
      </c>
      <c r="I67" s="5">
        <v>0</v>
      </c>
      <c r="K67" s="5">
        <v>2</v>
      </c>
      <c r="L67" s="8">
        <v>328</v>
      </c>
      <c r="M67">
        <v>2</v>
      </c>
      <c r="N67">
        <v>237</v>
      </c>
      <c r="O67" s="5">
        <v>1</v>
      </c>
      <c r="P67">
        <v>152</v>
      </c>
      <c r="Q67" s="5"/>
    </row>
    <row r="68" spans="2:18" x14ac:dyDescent="0.2">
      <c r="B68" s="84"/>
      <c r="C68" s="83" t="s">
        <v>644</v>
      </c>
      <c r="D68" s="83" t="s">
        <v>631</v>
      </c>
      <c r="E68" s="83" t="s">
        <v>649</v>
      </c>
      <c r="F68" s="83" t="s">
        <v>554</v>
      </c>
      <c r="G68" s="5">
        <v>0</v>
      </c>
      <c r="H68" s="5"/>
      <c r="I68" s="5">
        <v>0</v>
      </c>
      <c r="J68" s="8"/>
      <c r="K68" s="5">
        <v>2</v>
      </c>
      <c r="L68" s="8">
        <v>328</v>
      </c>
      <c r="M68">
        <v>0</v>
      </c>
      <c r="O68" s="5">
        <v>1</v>
      </c>
      <c r="P68">
        <v>1095</v>
      </c>
      <c r="Q68" s="5"/>
    </row>
    <row r="69" spans="2:18" x14ac:dyDescent="0.2">
      <c r="B69" s="84"/>
      <c r="C69" s="83" t="s">
        <v>656</v>
      </c>
      <c r="D69" s="83" t="s">
        <v>657</v>
      </c>
      <c r="E69" s="83" t="s">
        <v>658</v>
      </c>
      <c r="F69" s="83" t="s">
        <v>633</v>
      </c>
      <c r="G69" s="5">
        <v>2</v>
      </c>
      <c r="H69" s="5">
        <v>291</v>
      </c>
      <c r="I69" s="5">
        <v>0</v>
      </c>
      <c r="K69" s="5">
        <v>2</v>
      </c>
      <c r="L69" s="8">
        <v>328</v>
      </c>
      <c r="M69">
        <v>2</v>
      </c>
      <c r="N69">
        <v>250</v>
      </c>
      <c r="O69" s="5">
        <v>1</v>
      </c>
      <c r="P69">
        <v>219</v>
      </c>
      <c r="Q69" s="5"/>
    </row>
    <row r="70" spans="2:18" x14ac:dyDescent="0.2">
      <c r="B70" s="84"/>
      <c r="C70" s="83" t="s">
        <v>659</v>
      </c>
      <c r="D70" s="83" t="s">
        <v>657</v>
      </c>
      <c r="E70" s="83" t="s">
        <v>660</v>
      </c>
      <c r="F70" s="83" t="s">
        <v>661</v>
      </c>
      <c r="G70" s="5">
        <v>2</v>
      </c>
      <c r="H70" s="5">
        <v>291</v>
      </c>
      <c r="I70" s="5">
        <v>0</v>
      </c>
      <c r="K70" s="5">
        <v>2</v>
      </c>
      <c r="L70" s="8">
        <v>328</v>
      </c>
      <c r="M70">
        <v>2</v>
      </c>
      <c r="N70">
        <v>250</v>
      </c>
      <c r="O70" s="5">
        <v>1</v>
      </c>
      <c r="P70">
        <v>2191</v>
      </c>
      <c r="Q70" s="5"/>
    </row>
    <row r="71" spans="2:18" x14ac:dyDescent="0.2">
      <c r="B71" s="84"/>
      <c r="C71" s="83" t="s">
        <v>662</v>
      </c>
      <c r="D71" s="83" t="s">
        <v>657</v>
      </c>
      <c r="E71" s="83" t="s">
        <v>663</v>
      </c>
      <c r="F71" s="83" t="s">
        <v>664</v>
      </c>
      <c r="G71" s="5">
        <v>2</v>
      </c>
      <c r="H71" s="5">
        <v>291</v>
      </c>
      <c r="I71" s="5">
        <v>0</v>
      </c>
      <c r="K71" s="5">
        <v>2</v>
      </c>
      <c r="L71" s="8">
        <v>328</v>
      </c>
      <c r="M71">
        <v>0</v>
      </c>
      <c r="O71" s="5">
        <v>0</v>
      </c>
      <c r="Q71" s="5"/>
    </row>
    <row r="72" spans="2:18" x14ac:dyDescent="0.2">
      <c r="B72" s="84"/>
      <c r="C72" s="83" t="s">
        <v>665</v>
      </c>
      <c r="D72" s="83" t="s">
        <v>657</v>
      </c>
      <c r="E72" s="83" t="s">
        <v>666</v>
      </c>
      <c r="F72" s="83" t="s">
        <v>667</v>
      </c>
      <c r="G72" s="5">
        <v>2</v>
      </c>
      <c r="H72" s="5">
        <v>291</v>
      </c>
      <c r="I72" s="5">
        <v>0</v>
      </c>
      <c r="J72" s="8"/>
      <c r="K72" s="5">
        <v>2</v>
      </c>
      <c r="L72" s="8">
        <v>328</v>
      </c>
      <c r="M72">
        <v>0</v>
      </c>
      <c r="O72" s="5">
        <v>2</v>
      </c>
      <c r="P72">
        <v>325</v>
      </c>
      <c r="Q72" s="5"/>
    </row>
    <row r="73" spans="2:18" x14ac:dyDescent="0.2">
      <c r="B73" s="88" t="s">
        <v>668</v>
      </c>
      <c r="C73" s="88"/>
      <c r="D73" s="88"/>
      <c r="E73" s="88"/>
      <c r="F73" s="88"/>
      <c r="G73" s="91">
        <f>SUM(G74:G80)/14</f>
        <v>0.42857142857142855</v>
      </c>
      <c r="H73" s="91"/>
      <c r="I73" s="91">
        <f>SUM(I74:I80)/14</f>
        <v>0.42857142857142855</v>
      </c>
      <c r="J73" s="91"/>
      <c r="K73" s="91">
        <f>SUM(K74:K80)/14</f>
        <v>0.9285714285714286</v>
      </c>
      <c r="L73" s="91"/>
      <c r="M73" s="91">
        <f>SUM(M74:M80)/14</f>
        <v>0.7142857142857143</v>
      </c>
      <c r="N73" s="91"/>
      <c r="O73" s="91">
        <f>SUM(O74:O80)/14</f>
        <v>0.5</v>
      </c>
      <c r="P73" s="91"/>
      <c r="Q73" s="93"/>
      <c r="R73" s="91"/>
    </row>
    <row r="74" spans="2:18" x14ac:dyDescent="0.2">
      <c r="B74" s="84"/>
      <c r="C74" s="83" t="s">
        <v>669</v>
      </c>
      <c r="D74" s="83" t="s">
        <v>631</v>
      </c>
      <c r="E74" s="83" t="s">
        <v>670</v>
      </c>
      <c r="F74" s="83" t="s">
        <v>671</v>
      </c>
      <c r="G74" s="5">
        <v>2</v>
      </c>
      <c r="H74" s="5">
        <v>316</v>
      </c>
      <c r="I74" s="5">
        <v>2</v>
      </c>
      <c r="J74" s="8">
        <v>220</v>
      </c>
      <c r="K74" s="5">
        <v>2</v>
      </c>
      <c r="L74" s="8">
        <v>356</v>
      </c>
      <c r="M74">
        <v>2</v>
      </c>
      <c r="N74">
        <v>260</v>
      </c>
      <c r="O74" s="5">
        <v>1</v>
      </c>
      <c r="P74">
        <v>2020</v>
      </c>
      <c r="Q74" s="5"/>
    </row>
    <row r="75" spans="2:18" x14ac:dyDescent="0.2">
      <c r="B75" s="84"/>
      <c r="C75" s="83" t="s">
        <v>669</v>
      </c>
      <c r="D75" s="83" t="s">
        <v>631</v>
      </c>
      <c r="E75" s="83" t="s">
        <v>676</v>
      </c>
      <c r="F75" s="83" t="s">
        <v>677</v>
      </c>
      <c r="G75" s="5">
        <v>0</v>
      </c>
      <c r="H75" s="5">
        <v>316</v>
      </c>
      <c r="I75" s="5">
        <v>2</v>
      </c>
      <c r="J75">
        <v>220</v>
      </c>
      <c r="K75" s="5">
        <v>2</v>
      </c>
      <c r="L75" s="8">
        <v>356</v>
      </c>
      <c r="M75">
        <v>2</v>
      </c>
      <c r="N75">
        <v>260</v>
      </c>
      <c r="O75" s="5">
        <v>1</v>
      </c>
      <c r="P75">
        <v>1964</v>
      </c>
      <c r="Q75" s="5"/>
    </row>
    <row r="76" spans="2:18" x14ac:dyDescent="0.2">
      <c r="B76" s="84"/>
      <c r="C76" s="83" t="s">
        <v>669</v>
      </c>
      <c r="D76" s="83" t="s">
        <v>631</v>
      </c>
      <c r="E76" s="83" t="s">
        <v>678</v>
      </c>
      <c r="F76" s="83" t="s">
        <v>511</v>
      </c>
      <c r="G76" s="5">
        <v>0</v>
      </c>
      <c r="H76" s="5"/>
      <c r="I76" s="5">
        <v>0</v>
      </c>
      <c r="K76" s="5">
        <v>1</v>
      </c>
      <c r="L76" s="8">
        <v>356</v>
      </c>
      <c r="M76">
        <v>0</v>
      </c>
      <c r="O76" s="5">
        <v>2</v>
      </c>
      <c r="P76">
        <v>1077</v>
      </c>
      <c r="Q76" s="5"/>
    </row>
    <row r="77" spans="2:18" x14ac:dyDescent="0.2">
      <c r="B77" s="84"/>
      <c r="C77" s="83" t="s">
        <v>679</v>
      </c>
      <c r="D77" s="83" t="s">
        <v>631</v>
      </c>
      <c r="E77" s="83" t="s">
        <v>680</v>
      </c>
      <c r="F77" s="83" t="s">
        <v>681</v>
      </c>
      <c r="G77" s="5">
        <v>2</v>
      </c>
      <c r="H77" s="5">
        <v>316</v>
      </c>
      <c r="I77" s="5">
        <v>2</v>
      </c>
      <c r="J77" s="8">
        <v>229</v>
      </c>
      <c r="K77" s="5">
        <v>2</v>
      </c>
      <c r="L77" s="8">
        <v>356</v>
      </c>
      <c r="M77">
        <v>2</v>
      </c>
      <c r="N77">
        <v>260</v>
      </c>
      <c r="O77" s="5">
        <v>1</v>
      </c>
      <c r="P77">
        <v>480</v>
      </c>
      <c r="Q77" s="5"/>
    </row>
    <row r="78" spans="2:18" x14ac:dyDescent="0.2">
      <c r="B78" s="84"/>
      <c r="C78" s="83" t="s">
        <v>679</v>
      </c>
      <c r="D78" s="83" t="s">
        <v>631</v>
      </c>
      <c r="E78" s="83" t="s">
        <v>684</v>
      </c>
      <c r="F78" s="83" t="s">
        <v>685</v>
      </c>
      <c r="G78" s="5">
        <v>2</v>
      </c>
      <c r="H78" s="5">
        <v>316</v>
      </c>
      <c r="I78" s="5">
        <v>0</v>
      </c>
      <c r="K78" s="5">
        <v>2</v>
      </c>
      <c r="L78" s="8">
        <v>356</v>
      </c>
      <c r="M78">
        <v>2</v>
      </c>
      <c r="N78">
        <v>260</v>
      </c>
      <c r="O78" s="5">
        <v>0</v>
      </c>
      <c r="Q78" s="5"/>
    </row>
    <row r="79" spans="2:18" x14ac:dyDescent="0.2">
      <c r="B79" s="84"/>
      <c r="C79" s="83" t="s">
        <v>679</v>
      </c>
      <c r="D79" s="83" t="s">
        <v>631</v>
      </c>
      <c r="E79" s="83" t="s">
        <v>688</v>
      </c>
      <c r="F79" s="83" t="s">
        <v>511</v>
      </c>
      <c r="G79" s="5">
        <v>0</v>
      </c>
      <c r="H79" s="5"/>
      <c r="I79" s="5">
        <v>0</v>
      </c>
      <c r="K79" s="5">
        <v>2</v>
      </c>
      <c r="L79" s="8">
        <v>356</v>
      </c>
      <c r="M79">
        <v>2</v>
      </c>
      <c r="N79">
        <v>271</v>
      </c>
      <c r="O79" s="5">
        <v>2</v>
      </c>
      <c r="P79">
        <v>1364</v>
      </c>
      <c r="Q79" s="5"/>
    </row>
    <row r="80" spans="2:18" x14ac:dyDescent="0.2">
      <c r="B80" s="84"/>
      <c r="C80" s="83" t="s">
        <v>679</v>
      </c>
      <c r="D80" s="83" t="s">
        <v>631</v>
      </c>
      <c r="E80" s="83" t="s">
        <v>687</v>
      </c>
      <c r="F80" s="83" t="s">
        <v>511</v>
      </c>
      <c r="G80" s="5">
        <v>0</v>
      </c>
      <c r="H80" s="5"/>
      <c r="I80" s="5">
        <v>0</v>
      </c>
      <c r="K80" s="5">
        <v>2</v>
      </c>
      <c r="L80" s="8">
        <v>356</v>
      </c>
      <c r="M80">
        <v>0</v>
      </c>
      <c r="O80" s="5">
        <v>0</v>
      </c>
      <c r="Q80" s="5"/>
    </row>
    <row r="81" spans="2:18" x14ac:dyDescent="0.2">
      <c r="B81" s="88" t="s">
        <v>690</v>
      </c>
      <c r="C81" s="88"/>
      <c r="D81" s="88"/>
      <c r="E81" s="88"/>
      <c r="F81" s="88"/>
      <c r="G81" s="91">
        <f>SUM(G82:G85)/8</f>
        <v>0.5</v>
      </c>
      <c r="H81" s="91"/>
      <c r="I81" s="91">
        <f>SUM(I82:I85)/8</f>
        <v>0.5</v>
      </c>
      <c r="J81" s="91"/>
      <c r="K81" s="91">
        <f>SUM(K82:K85)/8</f>
        <v>1</v>
      </c>
      <c r="L81" s="91"/>
      <c r="M81" s="91">
        <f>SUM(M82:M85)/8</f>
        <v>0.5</v>
      </c>
      <c r="N81" s="91"/>
      <c r="O81" s="91">
        <f>SUM(O82:O85)/8</f>
        <v>0.625</v>
      </c>
      <c r="P81" s="91"/>
      <c r="Q81" s="93"/>
      <c r="R81" s="91"/>
    </row>
    <row r="82" spans="2:18" x14ac:dyDescent="0.2">
      <c r="B82" s="84"/>
      <c r="C82" s="83" t="s">
        <v>691</v>
      </c>
      <c r="D82" s="83" t="s">
        <v>631</v>
      </c>
      <c r="E82" s="83" t="s">
        <v>691</v>
      </c>
      <c r="F82" s="83" t="s">
        <v>673</v>
      </c>
      <c r="G82" s="5">
        <v>2</v>
      </c>
      <c r="H82" s="5">
        <v>316</v>
      </c>
      <c r="I82" s="5">
        <v>2</v>
      </c>
      <c r="J82">
        <v>235</v>
      </c>
      <c r="K82" s="5">
        <v>2</v>
      </c>
      <c r="L82" s="8">
        <v>375</v>
      </c>
      <c r="M82">
        <v>2</v>
      </c>
      <c r="N82">
        <v>279</v>
      </c>
      <c r="O82" s="5">
        <v>0</v>
      </c>
      <c r="Q82" s="5"/>
    </row>
    <row r="83" spans="2:18" x14ac:dyDescent="0.2">
      <c r="B83" s="84"/>
      <c r="C83" s="83" t="s">
        <v>691</v>
      </c>
      <c r="D83" s="83" t="s">
        <v>693</v>
      </c>
      <c r="E83" s="83" t="s">
        <v>691</v>
      </c>
      <c r="F83" s="83" t="s">
        <v>552</v>
      </c>
      <c r="G83" s="5">
        <v>0</v>
      </c>
      <c r="H83" s="5"/>
      <c r="I83" s="5">
        <v>0</v>
      </c>
      <c r="J83" s="8"/>
      <c r="K83" s="5">
        <v>2</v>
      </c>
      <c r="L83" s="8">
        <v>375</v>
      </c>
      <c r="M83">
        <v>0</v>
      </c>
      <c r="O83" s="5">
        <v>2</v>
      </c>
      <c r="P83">
        <v>1507</v>
      </c>
      <c r="Q83" s="5"/>
    </row>
    <row r="84" spans="2:18" x14ac:dyDescent="0.2">
      <c r="B84" s="84"/>
      <c r="C84" s="83" t="s">
        <v>696</v>
      </c>
      <c r="D84" s="83" t="s">
        <v>692</v>
      </c>
      <c r="E84" s="83" t="s">
        <v>696</v>
      </c>
      <c r="F84" s="83" t="s">
        <v>637</v>
      </c>
      <c r="G84" s="5">
        <v>2</v>
      </c>
      <c r="H84" s="5">
        <v>316</v>
      </c>
      <c r="I84" s="5">
        <v>2</v>
      </c>
      <c r="J84" s="8">
        <v>241</v>
      </c>
      <c r="K84" s="5">
        <v>2</v>
      </c>
      <c r="L84" s="8">
        <v>375</v>
      </c>
      <c r="M84">
        <v>2</v>
      </c>
      <c r="N84">
        <v>279</v>
      </c>
      <c r="O84" s="5">
        <v>1</v>
      </c>
      <c r="P84">
        <v>2309</v>
      </c>
      <c r="Q84" s="5"/>
    </row>
    <row r="85" spans="2:18" x14ac:dyDescent="0.2">
      <c r="B85" s="84"/>
      <c r="C85" s="83" t="s">
        <v>696</v>
      </c>
      <c r="D85" s="83" t="s">
        <v>693</v>
      </c>
      <c r="E85" s="83" t="s">
        <v>696</v>
      </c>
      <c r="F85" s="83" t="s">
        <v>552</v>
      </c>
      <c r="G85" s="5">
        <v>0</v>
      </c>
      <c r="H85" s="5"/>
      <c r="I85" s="5">
        <v>0</v>
      </c>
      <c r="K85" s="5">
        <v>2</v>
      </c>
      <c r="L85" s="8">
        <v>375</v>
      </c>
      <c r="M85">
        <v>0</v>
      </c>
      <c r="O85" s="5">
        <v>2</v>
      </c>
      <c r="P85">
        <v>1656</v>
      </c>
      <c r="Q85" s="5"/>
    </row>
    <row r="86" spans="2:18" x14ac:dyDescent="0.2">
      <c r="B86" s="88" t="s">
        <v>698</v>
      </c>
      <c r="C86" s="88"/>
      <c r="D86" s="88"/>
      <c r="E86" s="88"/>
      <c r="F86" s="88"/>
      <c r="G86" s="91">
        <f>SUM(G87:G90)/8</f>
        <v>0</v>
      </c>
      <c r="H86" s="91"/>
      <c r="I86" s="91">
        <f>SUM(I87:I90)/8</f>
        <v>0.25</v>
      </c>
      <c r="J86" s="91"/>
      <c r="K86" s="91">
        <f>SUM(K87:K90)/8</f>
        <v>1</v>
      </c>
      <c r="L86" s="91"/>
      <c r="M86" s="91">
        <f>SUM(M87:M90)/8</f>
        <v>0.75</v>
      </c>
      <c r="N86" s="91"/>
      <c r="O86" s="91">
        <f>SUM(O87:O90)/8</f>
        <v>0.125</v>
      </c>
      <c r="P86" s="91"/>
      <c r="Q86" s="93"/>
      <c r="R86" s="91"/>
    </row>
    <row r="87" spans="2:18" x14ac:dyDescent="0.2">
      <c r="B87" s="84"/>
      <c r="C87" s="83" t="s">
        <v>778</v>
      </c>
      <c r="D87" s="83" t="s">
        <v>700</v>
      </c>
      <c r="E87" s="83" t="s">
        <v>779</v>
      </c>
      <c r="F87" s="83" t="s">
        <v>704</v>
      </c>
      <c r="G87" s="5">
        <v>0</v>
      </c>
      <c r="H87" s="5"/>
      <c r="I87" s="5">
        <v>0</v>
      </c>
      <c r="K87" s="5">
        <v>2</v>
      </c>
      <c r="L87" s="8">
        <v>391</v>
      </c>
      <c r="M87">
        <v>2</v>
      </c>
      <c r="N87">
        <v>290</v>
      </c>
      <c r="O87" s="5">
        <v>0</v>
      </c>
      <c r="Q87" s="5"/>
    </row>
    <row r="88" spans="2:18" x14ac:dyDescent="0.2">
      <c r="B88" s="84"/>
      <c r="C88" s="83" t="s">
        <v>778</v>
      </c>
      <c r="D88" s="83" t="s">
        <v>700</v>
      </c>
      <c r="E88" s="83" t="s">
        <v>780</v>
      </c>
      <c r="F88" s="83" t="s">
        <v>712</v>
      </c>
      <c r="G88" s="5">
        <v>0</v>
      </c>
      <c r="H88" s="5"/>
      <c r="I88" s="5">
        <v>0</v>
      </c>
      <c r="K88" s="5">
        <v>2</v>
      </c>
      <c r="L88" s="8">
        <v>391</v>
      </c>
      <c r="M88">
        <v>2</v>
      </c>
      <c r="N88">
        <v>290</v>
      </c>
      <c r="O88" s="5">
        <v>1</v>
      </c>
      <c r="P88">
        <v>1955</v>
      </c>
      <c r="Q88" s="5"/>
    </row>
    <row r="89" spans="2:18" x14ac:dyDescent="0.2">
      <c r="B89" s="84"/>
      <c r="C89" s="83" t="s">
        <v>778</v>
      </c>
      <c r="D89" s="83" t="s">
        <v>700</v>
      </c>
      <c r="E89" s="83" t="s">
        <v>781</v>
      </c>
      <c r="F89" s="83" t="s">
        <v>706</v>
      </c>
      <c r="G89" s="5">
        <v>0</v>
      </c>
      <c r="H89" s="5"/>
      <c r="I89" s="5">
        <v>2</v>
      </c>
      <c r="J89" s="8"/>
      <c r="K89" s="5">
        <v>2</v>
      </c>
      <c r="L89" s="8">
        <v>391</v>
      </c>
      <c r="M89">
        <v>2</v>
      </c>
      <c r="N89">
        <v>290</v>
      </c>
      <c r="O89" s="5">
        <v>0</v>
      </c>
      <c r="Q89" s="5"/>
    </row>
    <row r="90" spans="2:18" x14ac:dyDescent="0.2">
      <c r="B90" s="84"/>
      <c r="C90" s="83" t="s">
        <v>778</v>
      </c>
      <c r="D90" s="83" t="s">
        <v>700</v>
      </c>
      <c r="E90" s="83" t="s">
        <v>782</v>
      </c>
      <c r="F90" s="83" t="s">
        <v>714</v>
      </c>
      <c r="G90" s="5">
        <v>0</v>
      </c>
      <c r="H90" s="5"/>
      <c r="I90" s="5">
        <v>0</v>
      </c>
      <c r="J90" s="8"/>
      <c r="K90" s="5">
        <v>2</v>
      </c>
      <c r="L90" s="8">
        <v>391</v>
      </c>
      <c r="M90">
        <v>0</v>
      </c>
      <c r="O90" s="5">
        <v>0</v>
      </c>
      <c r="Q90" s="5"/>
    </row>
    <row r="91" spans="2:18" x14ac:dyDescent="0.2">
      <c r="B91" s="88" t="s">
        <v>716</v>
      </c>
      <c r="C91" s="88"/>
      <c r="D91" s="88"/>
      <c r="E91" s="88"/>
      <c r="F91" s="88"/>
      <c r="G91" s="91">
        <f>SUM(G92:G95)/6</f>
        <v>0.33333333333333331</v>
      </c>
      <c r="H91" s="91"/>
      <c r="I91" s="91">
        <f>SUM(I92:I95)/6</f>
        <v>0</v>
      </c>
      <c r="J91" s="91"/>
      <c r="K91" s="91">
        <f>SUM(K92:K95)/6</f>
        <v>0.83333333333333337</v>
      </c>
      <c r="L91" s="91"/>
      <c r="M91" s="91">
        <f>SUM(M92:M95)/6</f>
        <v>0.66666666666666663</v>
      </c>
      <c r="N91" s="91"/>
      <c r="O91" s="91">
        <f>SUM(O92:O95)/6</f>
        <v>0.16666666666666666</v>
      </c>
      <c r="P91" s="91"/>
      <c r="Q91" s="93"/>
      <c r="R91" s="91"/>
    </row>
    <row r="92" spans="2:18" x14ac:dyDescent="0.2">
      <c r="B92" s="84"/>
      <c r="C92" s="83" t="s">
        <v>717</v>
      </c>
      <c r="D92" s="83" t="s">
        <v>718</v>
      </c>
      <c r="E92" s="83" t="s">
        <v>719</v>
      </c>
      <c r="F92" s="83" t="s">
        <v>720</v>
      </c>
      <c r="G92" s="5">
        <v>2</v>
      </c>
      <c r="H92" s="5">
        <v>343</v>
      </c>
      <c r="I92" s="5">
        <v>0</v>
      </c>
      <c r="K92" s="5">
        <v>2</v>
      </c>
      <c r="L92" s="8">
        <v>414</v>
      </c>
      <c r="M92">
        <v>2</v>
      </c>
      <c r="N92">
        <v>307</v>
      </c>
      <c r="O92" s="5">
        <v>1</v>
      </c>
      <c r="P92">
        <v>489</v>
      </c>
      <c r="Q92" s="5"/>
    </row>
    <row r="93" spans="2:18" x14ac:dyDescent="0.2">
      <c r="B93" s="84"/>
      <c r="C93" s="83" t="s">
        <v>717</v>
      </c>
      <c r="D93" s="83" t="s">
        <v>718</v>
      </c>
      <c r="E93" s="83" t="s">
        <v>726</v>
      </c>
      <c r="F93" s="83" t="s">
        <v>54</v>
      </c>
      <c r="G93" s="5">
        <v>0</v>
      </c>
      <c r="H93" s="5"/>
      <c r="I93" s="5">
        <v>0</v>
      </c>
      <c r="K93" s="5">
        <v>1</v>
      </c>
      <c r="L93" s="8">
        <v>414</v>
      </c>
      <c r="M93">
        <v>2</v>
      </c>
      <c r="N93">
        <v>318</v>
      </c>
      <c r="O93" s="5">
        <v>0</v>
      </c>
      <c r="Q93" s="5"/>
    </row>
    <row r="94" spans="2:18" x14ac:dyDescent="0.2">
      <c r="B94" s="84"/>
      <c r="C94" s="83"/>
      <c r="D94" s="83"/>
      <c r="E94" s="83"/>
      <c r="F94" s="83"/>
      <c r="G94" s="5"/>
      <c r="H94" s="5"/>
      <c r="I94" s="5"/>
      <c r="K94" s="5"/>
      <c r="L94" s="8"/>
      <c r="O94" s="5"/>
      <c r="Q94" s="5"/>
    </row>
    <row r="95" spans="2:18" x14ac:dyDescent="0.2">
      <c r="B95" s="84"/>
      <c r="C95" s="83" t="s">
        <v>717</v>
      </c>
      <c r="D95" s="83" t="s">
        <v>631</v>
      </c>
      <c r="E95" s="83" t="s">
        <v>728</v>
      </c>
      <c r="F95" s="83" t="s">
        <v>511</v>
      </c>
      <c r="G95" s="5">
        <v>0</v>
      </c>
      <c r="H95" s="5"/>
      <c r="I95" s="5">
        <v>0</v>
      </c>
      <c r="K95" s="5">
        <v>2</v>
      </c>
      <c r="L95" s="8">
        <v>414</v>
      </c>
      <c r="M95">
        <v>0</v>
      </c>
      <c r="O95" s="5">
        <v>0</v>
      </c>
      <c r="Q95" s="5"/>
    </row>
    <row r="96" spans="2:18" x14ac:dyDescent="0.2">
      <c r="B96" s="88" t="s">
        <v>729</v>
      </c>
      <c r="C96" s="88"/>
      <c r="D96" s="88"/>
      <c r="E96" s="88"/>
      <c r="F96" s="88"/>
      <c r="G96" s="91">
        <f>SUM(G97:G98)/4</f>
        <v>0</v>
      </c>
      <c r="H96" s="91"/>
      <c r="I96" s="91">
        <f>SUM(I97:I98)/4</f>
        <v>1</v>
      </c>
      <c r="J96" s="91"/>
      <c r="K96" s="91">
        <f>SUM(K97:K98)/4</f>
        <v>1</v>
      </c>
      <c r="L96" s="91"/>
      <c r="M96" s="91">
        <f>SUM(M97:M98)/4</f>
        <v>1</v>
      </c>
      <c r="N96" s="91"/>
      <c r="O96" s="91">
        <f>SUM(O97:O98)/4</f>
        <v>0.5</v>
      </c>
      <c r="P96" s="91"/>
      <c r="Q96" s="93"/>
      <c r="R96" s="91"/>
    </row>
    <row r="97" spans="2:18" x14ac:dyDescent="0.2">
      <c r="B97" s="84"/>
      <c r="C97" s="83" t="s">
        <v>730</v>
      </c>
      <c r="D97" s="83" t="s">
        <v>731</v>
      </c>
      <c r="E97" s="83" t="s">
        <v>732</v>
      </c>
      <c r="F97" s="83" t="b">
        <v>1</v>
      </c>
      <c r="G97" s="5">
        <v>0</v>
      </c>
      <c r="H97" s="5"/>
      <c r="I97" s="5">
        <v>2</v>
      </c>
      <c r="J97">
        <v>272</v>
      </c>
      <c r="K97" s="5">
        <v>2</v>
      </c>
      <c r="L97" s="8">
        <v>432</v>
      </c>
      <c r="M97">
        <v>2</v>
      </c>
      <c r="N97">
        <v>331</v>
      </c>
      <c r="O97" s="5">
        <v>0</v>
      </c>
      <c r="Q97" s="5"/>
    </row>
    <row r="98" spans="2:18" x14ac:dyDescent="0.2">
      <c r="B98" s="84"/>
      <c r="C98" s="83" t="s">
        <v>730</v>
      </c>
      <c r="D98" s="83" t="s">
        <v>734</v>
      </c>
      <c r="E98" s="83" t="s">
        <v>732</v>
      </c>
      <c r="F98" s="83" t="b">
        <v>0</v>
      </c>
      <c r="G98" s="5">
        <v>0</v>
      </c>
      <c r="H98" s="5"/>
      <c r="I98" s="5">
        <v>2</v>
      </c>
      <c r="J98">
        <v>272</v>
      </c>
      <c r="K98" s="5">
        <v>2</v>
      </c>
      <c r="L98" s="8">
        <v>432</v>
      </c>
      <c r="M98">
        <v>2</v>
      </c>
      <c r="N98">
        <v>331</v>
      </c>
      <c r="O98" s="5">
        <v>2</v>
      </c>
      <c r="P98">
        <v>197</v>
      </c>
      <c r="Q98" s="5"/>
    </row>
    <row r="99" spans="2:18" x14ac:dyDescent="0.2">
      <c r="B99" s="88" t="s">
        <v>735</v>
      </c>
      <c r="C99" s="88"/>
      <c r="D99" s="88"/>
      <c r="E99" s="88"/>
      <c r="F99" s="88"/>
      <c r="G99" s="91">
        <f>SUM(G100:G104)/10</f>
        <v>0.4</v>
      </c>
      <c r="H99" s="91"/>
      <c r="I99" s="91">
        <f>SUM(I100:I104)/10</f>
        <v>0.6</v>
      </c>
      <c r="J99" s="91"/>
      <c r="K99" s="91">
        <f>SUM(K100:K104)/10</f>
        <v>1</v>
      </c>
      <c r="L99" s="91"/>
      <c r="M99" s="91">
        <f>SUM(M100:M104)/10</f>
        <v>0.8</v>
      </c>
      <c r="N99" s="91"/>
      <c r="O99" s="91">
        <f>SUM(O100:O104)/10</f>
        <v>0.8</v>
      </c>
      <c r="P99" s="91"/>
      <c r="Q99" s="93"/>
      <c r="R99" s="91"/>
    </row>
    <row r="100" spans="2:18" x14ac:dyDescent="0.2">
      <c r="B100" s="84"/>
      <c r="C100" s="83" t="s">
        <v>496</v>
      </c>
      <c r="D100" s="83" t="s">
        <v>736</v>
      </c>
      <c r="E100" s="83" t="s">
        <v>737</v>
      </c>
      <c r="F100" s="83">
        <v>-1</v>
      </c>
      <c r="G100" s="5">
        <v>0</v>
      </c>
      <c r="H100" s="5"/>
      <c r="I100" s="5">
        <v>2</v>
      </c>
      <c r="J100">
        <v>262</v>
      </c>
      <c r="K100" s="5">
        <v>2</v>
      </c>
      <c r="L100" s="8">
        <v>439</v>
      </c>
      <c r="M100">
        <v>2</v>
      </c>
      <c r="N100">
        <v>340</v>
      </c>
      <c r="O100" s="5">
        <v>2</v>
      </c>
      <c r="P100">
        <v>519</v>
      </c>
      <c r="Q100" s="5"/>
    </row>
    <row r="101" spans="2:18" x14ac:dyDescent="0.2">
      <c r="B101" s="84"/>
      <c r="C101" s="83" t="s">
        <v>496</v>
      </c>
      <c r="D101" s="83" t="s">
        <v>738</v>
      </c>
      <c r="E101" s="83" t="s">
        <v>737</v>
      </c>
      <c r="F101" s="83">
        <v>0</v>
      </c>
      <c r="G101" s="5">
        <v>2</v>
      </c>
      <c r="H101" s="5">
        <v>355</v>
      </c>
      <c r="I101" s="5">
        <v>2</v>
      </c>
      <c r="J101">
        <v>262</v>
      </c>
      <c r="K101" s="5">
        <v>2</v>
      </c>
      <c r="L101" s="8">
        <v>439</v>
      </c>
      <c r="M101">
        <v>2</v>
      </c>
      <c r="N101">
        <v>340</v>
      </c>
      <c r="O101" s="5">
        <v>2</v>
      </c>
      <c r="P101">
        <v>499</v>
      </c>
      <c r="Q101" s="5"/>
    </row>
    <row r="102" spans="2:18" x14ac:dyDescent="0.2">
      <c r="B102" s="84"/>
      <c r="C102" s="83" t="s">
        <v>496</v>
      </c>
      <c r="D102" s="83" t="s">
        <v>740</v>
      </c>
      <c r="E102" s="83" t="s">
        <v>737</v>
      </c>
      <c r="F102" s="83" t="s">
        <v>554</v>
      </c>
      <c r="G102" s="5">
        <v>0</v>
      </c>
      <c r="H102" s="5"/>
      <c r="I102" s="5">
        <v>0</v>
      </c>
      <c r="K102" s="5">
        <v>2</v>
      </c>
      <c r="L102" s="8">
        <v>439</v>
      </c>
      <c r="M102">
        <v>2</v>
      </c>
      <c r="N102">
        <v>361</v>
      </c>
      <c r="O102" s="5">
        <v>1</v>
      </c>
      <c r="P102">
        <v>1418</v>
      </c>
      <c r="Q102" s="5"/>
    </row>
    <row r="103" spans="2:18" x14ac:dyDescent="0.2">
      <c r="B103" s="84"/>
      <c r="C103" s="83" t="s">
        <v>741</v>
      </c>
      <c r="D103" s="83" t="s">
        <v>738</v>
      </c>
      <c r="E103" s="83" t="s">
        <v>742</v>
      </c>
      <c r="F103" s="83" t="b">
        <v>1</v>
      </c>
      <c r="G103" s="5">
        <v>2</v>
      </c>
      <c r="H103" s="5">
        <v>355</v>
      </c>
      <c r="I103" s="5">
        <v>2</v>
      </c>
      <c r="J103" s="8">
        <v>262</v>
      </c>
      <c r="K103" s="5">
        <v>2</v>
      </c>
      <c r="L103" s="8">
        <v>439</v>
      </c>
      <c r="M103">
        <v>2</v>
      </c>
      <c r="N103">
        <v>340</v>
      </c>
      <c r="O103" s="5">
        <v>1</v>
      </c>
      <c r="P103">
        <v>288</v>
      </c>
      <c r="Q103" s="5"/>
    </row>
    <row r="104" spans="2:18" x14ac:dyDescent="0.2">
      <c r="B104" s="84"/>
      <c r="C104" s="83" t="s">
        <v>741</v>
      </c>
      <c r="D104" s="83" t="s">
        <v>743</v>
      </c>
      <c r="E104" s="83" t="s">
        <v>742</v>
      </c>
      <c r="F104" s="83" t="b">
        <v>0</v>
      </c>
      <c r="G104" s="5">
        <v>0</v>
      </c>
      <c r="H104" s="5"/>
      <c r="I104" s="5">
        <v>0</v>
      </c>
      <c r="K104" s="5">
        <v>2</v>
      </c>
      <c r="L104" s="8">
        <v>439</v>
      </c>
      <c r="M104">
        <v>0</v>
      </c>
      <c r="O104" s="5">
        <v>2</v>
      </c>
      <c r="P104">
        <v>296</v>
      </c>
      <c r="Q104" s="5"/>
    </row>
    <row r="105" spans="2:18" x14ac:dyDescent="0.2">
      <c r="B105" s="88" t="s">
        <v>755</v>
      </c>
      <c r="C105" s="88"/>
      <c r="D105" s="88"/>
      <c r="E105" s="88"/>
      <c r="F105" s="88"/>
      <c r="G105" s="91">
        <f>SUM(G106:G108)/6</f>
        <v>0.33333333333333331</v>
      </c>
      <c r="H105" s="91"/>
      <c r="I105" s="91">
        <f>SUM(I106:I108)/6</f>
        <v>0.33333333333333331</v>
      </c>
      <c r="J105" s="91"/>
      <c r="K105" s="91">
        <f>SUM(K106:K108)/6</f>
        <v>1</v>
      </c>
      <c r="L105" s="91"/>
      <c r="M105" s="91">
        <f>SUM(M106:M108)/6</f>
        <v>0.66666666666666663</v>
      </c>
      <c r="N105" s="91"/>
      <c r="O105" s="91">
        <f>SUM(O106:O108)/6</f>
        <v>0.33333333333333331</v>
      </c>
      <c r="P105" s="91"/>
      <c r="Q105" s="93"/>
      <c r="R105" s="91"/>
    </row>
    <row r="106" spans="2:18" x14ac:dyDescent="0.2">
      <c r="B106" s="84"/>
      <c r="C106" s="83" t="s">
        <v>756</v>
      </c>
      <c r="D106" s="83" t="s">
        <v>757</v>
      </c>
      <c r="E106" s="83" t="s">
        <v>756</v>
      </c>
      <c r="F106" s="83" t="s">
        <v>637</v>
      </c>
      <c r="G106" s="5">
        <v>2</v>
      </c>
      <c r="H106" s="5">
        <v>373</v>
      </c>
      <c r="I106" s="5">
        <v>2</v>
      </c>
      <c r="J106">
        <v>296</v>
      </c>
      <c r="K106" s="5">
        <v>2</v>
      </c>
      <c r="L106" s="8">
        <v>473</v>
      </c>
      <c r="M106">
        <v>2</v>
      </c>
      <c r="N106">
        <v>369</v>
      </c>
      <c r="O106" s="5">
        <v>2</v>
      </c>
      <c r="P106">
        <v>2133</v>
      </c>
      <c r="Q106" s="5"/>
    </row>
    <row r="107" spans="2:18" x14ac:dyDescent="0.2">
      <c r="B107" s="84"/>
      <c r="C107" s="83" t="s">
        <v>756</v>
      </c>
      <c r="D107" s="83" t="s">
        <v>760</v>
      </c>
      <c r="E107" s="83" t="s">
        <v>756</v>
      </c>
      <c r="F107" s="83" t="s">
        <v>761</v>
      </c>
      <c r="G107" s="5">
        <v>0</v>
      </c>
      <c r="H107" s="5"/>
      <c r="I107" s="5">
        <v>0</v>
      </c>
      <c r="K107" s="5">
        <v>2</v>
      </c>
      <c r="L107" s="8">
        <v>473</v>
      </c>
      <c r="M107">
        <v>2</v>
      </c>
      <c r="N107">
        <v>369</v>
      </c>
      <c r="O107" s="5">
        <v>0</v>
      </c>
      <c r="Q107" s="5"/>
    </row>
    <row r="108" spans="2:18" x14ac:dyDescent="0.2">
      <c r="B108" s="84"/>
      <c r="C108" s="83" t="s">
        <v>756</v>
      </c>
      <c r="D108" s="83" t="s">
        <v>587</v>
      </c>
      <c r="E108" s="83" t="s">
        <v>756</v>
      </c>
      <c r="F108" s="83" t="s">
        <v>574</v>
      </c>
      <c r="G108" s="5">
        <v>0</v>
      </c>
      <c r="H108" s="5"/>
      <c r="I108" s="5">
        <v>0</v>
      </c>
      <c r="K108" s="5">
        <v>2</v>
      </c>
      <c r="L108" s="8">
        <v>473</v>
      </c>
      <c r="M108">
        <v>0</v>
      </c>
      <c r="O108" s="5">
        <v>0</v>
      </c>
      <c r="Q108" s="5"/>
    </row>
    <row r="110" spans="2:18" x14ac:dyDescent="0.2">
      <c r="F110" s="43" t="s">
        <v>35</v>
      </c>
      <c r="G110" s="43">
        <f>SUM(G6,G8:G11,G13:G16,G18:G19,G21:G25,G27:G32,G34:G41,G43:G53,G55:G57,G59:G61,G63:G72,G74:G80,G82:G85,G87:G90,G92:G95,G97:G98,G100:G104,G106:G108)</f>
        <v>83</v>
      </c>
      <c r="H110" s="43"/>
      <c r="I110" s="43">
        <f>SUM(I6,I8:I11,I13:I16,I18:I19,I21:I25,I27:I32,I34:I41,I43:I53,I55:I57,I59:I61,I63:I72,I74:I80,I82:I85,I87:I90,I92:I95,I97:I98,I100:I104,I106:I108)</f>
        <v>72</v>
      </c>
      <c r="J110" s="43"/>
      <c r="K110" s="43">
        <f>SUM(K6,K8:K11,K13:K16,K18:K19,K21:K25,K27:K32,K34:K41,K43:K53,K55:K57,K59:K61,K63:K72,K74:K80,K82:K85,K87:K90,K92:K95,K97:K98,K100:K104,K106:K108)</f>
        <v>164</v>
      </c>
      <c r="L110" s="43"/>
      <c r="M110" s="43">
        <f>SUM(M6,M8:M11,M13:M16,M18:M19,M21:M25,M27:M32,M34:M41,M43:M53,M55:M57,M59:M61,M63:M72,M74:M80,M82:M85,M87:M90,M92:M95,M97:M98,M100:M104,M106:M108)</f>
        <v>128</v>
      </c>
      <c r="N110" s="43"/>
      <c r="O110" s="43">
        <f>SUM(O6,O8:O11,O13:O16,O18:O19,O21:O25,O27:O32,O34:O41,O43:O53,O55:O57,O59:O61,O63:O72,O74:O80,O82:O85,O87:O90,O92:O95,O97:O98,O100:O104,O106:O108)</f>
        <v>82</v>
      </c>
      <c r="P110" s="43"/>
      <c r="Q110" s="43"/>
      <c r="R110" s="43"/>
    </row>
    <row r="111" spans="2:18" x14ac:dyDescent="0.2">
      <c r="F111" t="s">
        <v>785</v>
      </c>
      <c r="G111" s="67">
        <f>G110/F112</f>
        <v>0.48255813953488375</v>
      </c>
      <c r="H111" s="67"/>
      <c r="I111" s="67">
        <f>I110/F112</f>
        <v>0.41860465116279072</v>
      </c>
      <c r="J111" s="67"/>
      <c r="K111" s="67">
        <f>K110/F112</f>
        <v>0.95348837209302328</v>
      </c>
      <c r="L111" s="67"/>
      <c r="M111" s="67">
        <f>M110/F112</f>
        <v>0.7441860465116279</v>
      </c>
      <c r="N111" s="67"/>
      <c r="O111" s="67">
        <f>O110/F112</f>
        <v>0.47674418604651164</v>
      </c>
    </row>
    <row r="112" spans="2:18" x14ac:dyDescent="0.2">
      <c r="F112">
        <v>172</v>
      </c>
    </row>
    <row r="113" spans="6:15" x14ac:dyDescent="0.2">
      <c r="F113" t="s">
        <v>784</v>
      </c>
    </row>
    <row r="115" spans="6:15" x14ac:dyDescent="0.2">
      <c r="F115" t="s">
        <v>786</v>
      </c>
      <c r="G115" s="95">
        <f>SUM(G5,G7,G12,G17,G20,G26,G33,G42,G54,G58,G62,G73,G81,G86,G91,G96,G99,G105)/18</f>
        <v>0.51828403078403096</v>
      </c>
      <c r="I115" s="95">
        <f>SUM(I5,I7,I12,I17,I20,I26,I33,I42,I54,I58,I62,I73,I81,I86,I91,I96,I99,I105)/18</f>
        <v>0.40654160654160648</v>
      </c>
      <c r="K115" s="95">
        <f>SUM(K5,K7,K12,K17,K20,K26,K33,K42,K54,K58,K62,K73,K81,K86,K91,K96,K99,K105)/18</f>
        <v>0.97566137566137578</v>
      </c>
      <c r="M115" s="95">
        <f>SUM(M5,M7,M12,M17,M20,M26,M33,M42,M54,M58,M62,M73,M81,M86,M91,M96,M99,M105)/18</f>
        <v>0.8114357864357864</v>
      </c>
      <c r="O115" s="95">
        <f>SUM(O5,O7,O12,O17,O20,O26,O33,O42,O54,O58,O62,O73,O81,O86,O91,O96,O99,O105)/18</f>
        <v>0.50118446368446379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D81E-2768-ED4A-A30D-73C95A082A62}">
  <dimension ref="C4:H44"/>
  <sheetViews>
    <sheetView workbookViewId="0">
      <selection activeCell="C44" sqref="C44"/>
    </sheetView>
  </sheetViews>
  <sheetFormatPr baseColWidth="10" defaultRowHeight="16" x14ac:dyDescent="0.2"/>
  <cols>
    <col min="3" max="3" width="28.33203125" customWidth="1"/>
    <col min="5" max="5" width="102" bestFit="1" customWidth="1"/>
    <col min="6" max="6" width="89" bestFit="1" customWidth="1"/>
    <col min="7" max="7" width="42.6640625" bestFit="1" customWidth="1"/>
    <col min="8" max="8" width="60.6640625" bestFit="1" customWidth="1"/>
  </cols>
  <sheetData>
    <row r="4" spans="3:8" x14ac:dyDescent="0.2">
      <c r="C4" s="37" t="s">
        <v>44</v>
      </c>
      <c r="D4" s="38" t="s">
        <v>45</v>
      </c>
      <c r="E4" s="38" t="s">
        <v>55</v>
      </c>
      <c r="F4" s="38" t="s">
        <v>46</v>
      </c>
      <c r="G4" s="38" t="s">
        <v>47</v>
      </c>
      <c r="H4" s="39" t="s">
        <v>56</v>
      </c>
    </row>
    <row r="5" spans="3:8" x14ac:dyDescent="0.2">
      <c r="C5" t="s">
        <v>48</v>
      </c>
      <c r="D5">
        <v>163</v>
      </c>
      <c r="E5" t="s">
        <v>60</v>
      </c>
      <c r="F5" t="s">
        <v>49</v>
      </c>
      <c r="G5" t="s">
        <v>50</v>
      </c>
      <c r="H5" t="s">
        <v>59</v>
      </c>
    </row>
    <row r="6" spans="3:8" x14ac:dyDescent="0.2">
      <c r="C6" t="s">
        <v>51</v>
      </c>
      <c r="D6">
        <v>270</v>
      </c>
      <c r="E6" t="s">
        <v>58</v>
      </c>
      <c r="F6" t="s">
        <v>52</v>
      </c>
      <c r="G6" t="s">
        <v>53</v>
      </c>
      <c r="H6" t="s">
        <v>57</v>
      </c>
    </row>
    <row r="8" spans="3:8" x14ac:dyDescent="0.2">
      <c r="C8" t="s">
        <v>61</v>
      </c>
      <c r="D8">
        <v>542</v>
      </c>
      <c r="E8" t="s">
        <v>62</v>
      </c>
      <c r="F8" t="s">
        <v>63</v>
      </c>
      <c r="G8" t="s">
        <v>53</v>
      </c>
      <c r="H8" t="s">
        <v>66</v>
      </c>
    </row>
    <row r="9" spans="3:8" x14ac:dyDescent="0.2">
      <c r="C9" t="s">
        <v>61</v>
      </c>
      <c r="D9">
        <v>544</v>
      </c>
      <c r="E9" t="s">
        <v>67</v>
      </c>
      <c r="F9" t="s">
        <v>64</v>
      </c>
      <c r="G9" t="s">
        <v>53</v>
      </c>
      <c r="H9" t="s">
        <v>65</v>
      </c>
    </row>
    <row r="11" spans="3:8" x14ac:dyDescent="0.2">
      <c r="C11" t="s">
        <v>68</v>
      </c>
      <c r="D11">
        <v>115</v>
      </c>
      <c r="E11" t="s">
        <v>69</v>
      </c>
      <c r="F11" t="s">
        <v>70</v>
      </c>
      <c r="G11" t="s">
        <v>71</v>
      </c>
      <c r="H11" t="s">
        <v>72</v>
      </c>
    </row>
    <row r="12" spans="3:8" x14ac:dyDescent="0.2">
      <c r="C12" t="s">
        <v>68</v>
      </c>
      <c r="D12">
        <v>89</v>
      </c>
      <c r="E12" t="s">
        <v>73</v>
      </c>
      <c r="F12" t="s">
        <v>74</v>
      </c>
      <c r="G12" t="s">
        <v>71</v>
      </c>
      <c r="H12" t="s">
        <v>75</v>
      </c>
    </row>
    <row r="14" spans="3:8" x14ac:dyDescent="0.2">
      <c r="C14" t="s">
        <v>76</v>
      </c>
      <c r="D14">
        <v>260</v>
      </c>
      <c r="E14" t="s">
        <v>77</v>
      </c>
      <c r="F14" t="s">
        <v>81</v>
      </c>
      <c r="H14" t="s">
        <v>79</v>
      </c>
    </row>
    <row r="15" spans="3:8" x14ac:dyDescent="0.2">
      <c r="C15" t="s">
        <v>76</v>
      </c>
      <c r="D15">
        <v>263</v>
      </c>
      <c r="E15" t="s">
        <v>78</v>
      </c>
      <c r="F15" t="s">
        <v>81</v>
      </c>
      <c r="H15" t="s">
        <v>80</v>
      </c>
    </row>
    <row r="16" spans="3:8" x14ac:dyDescent="0.2">
      <c r="C16" t="s">
        <v>76</v>
      </c>
      <c r="D16">
        <v>162</v>
      </c>
      <c r="E16" t="s">
        <v>83</v>
      </c>
      <c r="F16" t="s">
        <v>84</v>
      </c>
      <c r="H16" t="s">
        <v>85</v>
      </c>
    </row>
    <row r="17" spans="3:8" x14ac:dyDescent="0.2">
      <c r="C17" t="s">
        <v>76</v>
      </c>
      <c r="D17">
        <v>166</v>
      </c>
      <c r="E17" t="s">
        <v>87</v>
      </c>
      <c r="F17" t="s">
        <v>88</v>
      </c>
      <c r="H17" t="s">
        <v>86</v>
      </c>
    </row>
    <row r="18" spans="3:8" x14ac:dyDescent="0.2">
      <c r="C18" t="s">
        <v>76</v>
      </c>
      <c r="D18">
        <v>81</v>
      </c>
      <c r="E18" t="s">
        <v>90</v>
      </c>
      <c r="F18" t="s">
        <v>93</v>
      </c>
      <c r="H18" t="s">
        <v>89</v>
      </c>
    </row>
    <row r="19" spans="3:8" x14ac:dyDescent="0.2">
      <c r="C19" t="s">
        <v>76</v>
      </c>
      <c r="D19">
        <v>137</v>
      </c>
      <c r="E19" t="s">
        <v>92</v>
      </c>
      <c r="F19" t="s">
        <v>91</v>
      </c>
      <c r="H19" t="s">
        <v>94</v>
      </c>
    </row>
    <row r="21" spans="3:8" x14ac:dyDescent="0.2">
      <c r="C21" t="s">
        <v>95</v>
      </c>
      <c r="D21">
        <v>128</v>
      </c>
      <c r="E21" t="s">
        <v>96</v>
      </c>
      <c r="F21" t="s">
        <v>97</v>
      </c>
      <c r="G21" t="s">
        <v>98</v>
      </c>
    </row>
    <row r="22" spans="3:8" x14ac:dyDescent="0.2">
      <c r="C22" t="s">
        <v>95</v>
      </c>
      <c r="D22" t="s">
        <v>101</v>
      </c>
      <c r="E22" t="s">
        <v>99</v>
      </c>
      <c r="F22" t="s">
        <v>103</v>
      </c>
      <c r="G22" t="s">
        <v>100</v>
      </c>
      <c r="H22" t="s">
        <v>102</v>
      </c>
    </row>
    <row r="23" spans="3:8" x14ac:dyDescent="0.2">
      <c r="C23" t="s">
        <v>95</v>
      </c>
      <c r="D23">
        <v>283</v>
      </c>
      <c r="E23" t="s">
        <v>104</v>
      </c>
      <c r="G23" t="s">
        <v>100</v>
      </c>
    </row>
    <row r="24" spans="3:8" x14ac:dyDescent="0.2">
      <c r="C24" t="s">
        <v>95</v>
      </c>
      <c r="D24">
        <v>145</v>
      </c>
      <c r="E24" t="s">
        <v>95</v>
      </c>
      <c r="G24" t="s">
        <v>100</v>
      </c>
    </row>
    <row r="26" spans="3:8" x14ac:dyDescent="0.2">
      <c r="C26" t="s">
        <v>105</v>
      </c>
      <c r="D26">
        <v>186</v>
      </c>
      <c r="E26" t="s">
        <v>106</v>
      </c>
      <c r="F26" t="s">
        <v>81</v>
      </c>
      <c r="H26" t="s">
        <v>107</v>
      </c>
    </row>
    <row r="27" spans="3:8" x14ac:dyDescent="0.2">
      <c r="C27" t="s">
        <v>105</v>
      </c>
      <c r="D27">
        <v>189</v>
      </c>
      <c r="E27" t="s">
        <v>109</v>
      </c>
      <c r="F27" t="s">
        <v>81</v>
      </c>
      <c r="H27" t="s">
        <v>108</v>
      </c>
    </row>
    <row r="28" spans="3:8" x14ac:dyDescent="0.2">
      <c r="C28" t="s">
        <v>105</v>
      </c>
      <c r="D28">
        <v>77</v>
      </c>
      <c r="E28" t="s">
        <v>110</v>
      </c>
      <c r="F28" t="s">
        <v>81</v>
      </c>
      <c r="H28" t="s">
        <v>112</v>
      </c>
    </row>
    <row r="29" spans="3:8" x14ac:dyDescent="0.2">
      <c r="C29" t="s">
        <v>105</v>
      </c>
      <c r="D29">
        <v>81</v>
      </c>
      <c r="E29" t="s">
        <v>111</v>
      </c>
      <c r="F29" t="s">
        <v>81</v>
      </c>
      <c r="H29" t="s">
        <v>113</v>
      </c>
    </row>
    <row r="31" spans="3:8" x14ac:dyDescent="0.2">
      <c r="C31" t="s">
        <v>114</v>
      </c>
      <c r="D31" t="s">
        <v>115</v>
      </c>
      <c r="G31" t="s">
        <v>116</v>
      </c>
    </row>
    <row r="32" spans="3:8" x14ac:dyDescent="0.2">
      <c r="C32" t="s">
        <v>114</v>
      </c>
      <c r="D32">
        <v>313</v>
      </c>
      <c r="G32" t="s">
        <v>116</v>
      </c>
    </row>
    <row r="33" spans="3:8" x14ac:dyDescent="0.2">
      <c r="C33" t="s">
        <v>114</v>
      </c>
      <c r="D33">
        <v>185</v>
      </c>
      <c r="G33" t="s">
        <v>118</v>
      </c>
      <c r="H33" t="s">
        <v>117</v>
      </c>
    </row>
    <row r="35" spans="3:8" x14ac:dyDescent="0.2">
      <c r="C35" t="s">
        <v>122</v>
      </c>
      <c r="D35">
        <v>86</v>
      </c>
      <c r="E35" t="s">
        <v>119</v>
      </c>
      <c r="G35" t="s">
        <v>120</v>
      </c>
      <c r="H35" t="s">
        <v>132</v>
      </c>
    </row>
    <row r="36" spans="3:8" x14ac:dyDescent="0.2">
      <c r="C36" t="s">
        <v>122</v>
      </c>
      <c r="D36">
        <v>424</v>
      </c>
      <c r="E36" t="s">
        <v>121</v>
      </c>
      <c r="F36" t="s">
        <v>124</v>
      </c>
      <c r="G36" t="s">
        <v>123</v>
      </c>
      <c r="H36" t="s">
        <v>132</v>
      </c>
    </row>
    <row r="37" spans="3:8" x14ac:dyDescent="0.2">
      <c r="C37" t="s">
        <v>122</v>
      </c>
      <c r="D37">
        <v>362</v>
      </c>
      <c r="E37" t="s">
        <v>127</v>
      </c>
      <c r="F37" t="s">
        <v>126</v>
      </c>
      <c r="G37" t="s">
        <v>128</v>
      </c>
      <c r="H37" t="s">
        <v>125</v>
      </c>
    </row>
    <row r="38" spans="3:8" x14ac:dyDescent="0.2">
      <c r="C38" t="s">
        <v>122</v>
      </c>
      <c r="D38">
        <v>196</v>
      </c>
      <c r="E38" t="s">
        <v>129</v>
      </c>
      <c r="F38" t="s">
        <v>130</v>
      </c>
      <c r="G38" t="s">
        <v>50</v>
      </c>
      <c r="H38" t="s">
        <v>131</v>
      </c>
    </row>
    <row r="39" spans="3:8" x14ac:dyDescent="0.2">
      <c r="C39" t="s">
        <v>122</v>
      </c>
      <c r="D39" t="s">
        <v>134</v>
      </c>
      <c r="G39" t="s">
        <v>133</v>
      </c>
    </row>
    <row r="40" spans="3:8" x14ac:dyDescent="0.2">
      <c r="C40" t="s">
        <v>135</v>
      </c>
      <c r="D40">
        <v>175</v>
      </c>
      <c r="E40" t="s">
        <v>136</v>
      </c>
      <c r="G40" t="s">
        <v>133</v>
      </c>
      <c r="H40" t="s">
        <v>132</v>
      </c>
    </row>
    <row r="41" spans="3:8" x14ac:dyDescent="0.2">
      <c r="C41" t="s">
        <v>135</v>
      </c>
      <c r="D41">
        <v>197</v>
      </c>
      <c r="E41" t="s">
        <v>137</v>
      </c>
      <c r="F41" t="s">
        <v>84</v>
      </c>
      <c r="H41" t="s">
        <v>138</v>
      </c>
    </row>
    <row r="44" spans="3:8" x14ac:dyDescent="0.2">
      <c r="C44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2977-A78F-DF4B-9E0C-9CB46B8E3A8D}">
  <dimension ref="B2:AD185"/>
  <sheetViews>
    <sheetView workbookViewId="0">
      <selection activeCell="H100" sqref="H100"/>
    </sheetView>
  </sheetViews>
  <sheetFormatPr baseColWidth="10" defaultRowHeight="16" x14ac:dyDescent="0.2"/>
  <cols>
    <col min="3" max="3" width="27.33203125" bestFit="1" customWidth="1"/>
    <col min="4" max="4" width="22.33203125" bestFit="1" customWidth="1"/>
    <col min="5" max="5" width="27.33203125" bestFit="1" customWidth="1"/>
    <col min="6" max="6" width="22.33203125" bestFit="1" customWidth="1"/>
    <col min="12" max="12" width="23.6640625" bestFit="1" customWidth="1"/>
    <col min="24" max="24" width="22" bestFit="1" customWidth="1"/>
  </cols>
  <sheetData>
    <row r="2" spans="2:30" x14ac:dyDescent="0.2">
      <c r="B2" t="s">
        <v>8</v>
      </c>
      <c r="H2" t="s">
        <v>10</v>
      </c>
      <c r="N2" t="s">
        <v>9</v>
      </c>
      <c r="T2" t="s">
        <v>40</v>
      </c>
      <c r="Z2" t="s">
        <v>39</v>
      </c>
    </row>
    <row r="4" spans="2:30" x14ac:dyDescent="0.2">
      <c r="B4" s="4" t="s">
        <v>774</v>
      </c>
      <c r="C4" s="4" t="s">
        <v>182</v>
      </c>
      <c r="D4" s="3" t="s">
        <v>184</v>
      </c>
      <c r="E4" s="3" t="s">
        <v>185</v>
      </c>
      <c r="F4" s="3" t="s">
        <v>186</v>
      </c>
      <c r="H4" s="4" t="s">
        <v>774</v>
      </c>
      <c r="I4" s="3" t="s">
        <v>182</v>
      </c>
      <c r="J4" s="3" t="s">
        <v>184</v>
      </c>
      <c r="K4" s="3" t="s">
        <v>185</v>
      </c>
      <c r="L4" s="3" t="s">
        <v>186</v>
      </c>
      <c r="N4" s="4" t="s">
        <v>774</v>
      </c>
      <c r="O4" s="3" t="s">
        <v>182</v>
      </c>
      <c r="P4" s="3" t="s">
        <v>184</v>
      </c>
      <c r="Q4" s="3" t="s">
        <v>185</v>
      </c>
      <c r="R4" s="3" t="s">
        <v>186</v>
      </c>
      <c r="T4" s="4" t="s">
        <v>774</v>
      </c>
      <c r="U4" s="3" t="s">
        <v>182</v>
      </c>
      <c r="V4" s="3" t="s">
        <v>184</v>
      </c>
      <c r="W4" s="3" t="s">
        <v>185</v>
      </c>
      <c r="X4" s="3" t="s">
        <v>186</v>
      </c>
      <c r="Z4" s="4" t="s">
        <v>774</v>
      </c>
      <c r="AA4" s="3" t="s">
        <v>182</v>
      </c>
      <c r="AB4" s="3" t="s">
        <v>184</v>
      </c>
      <c r="AC4" s="3" t="s">
        <v>185</v>
      </c>
      <c r="AD4" s="3" t="s">
        <v>186</v>
      </c>
    </row>
    <row r="5" spans="2:30" x14ac:dyDescent="0.2">
      <c r="B5" t="s">
        <v>187</v>
      </c>
      <c r="H5" t="s">
        <v>187</v>
      </c>
      <c r="N5" t="s">
        <v>187</v>
      </c>
      <c r="T5" t="s">
        <v>187</v>
      </c>
      <c r="Z5" t="s">
        <v>187</v>
      </c>
    </row>
    <row r="6" spans="2:30" x14ac:dyDescent="0.2">
      <c r="C6" t="s">
        <v>188</v>
      </c>
      <c r="D6" t="s">
        <v>189</v>
      </c>
      <c r="E6" t="s">
        <v>188</v>
      </c>
      <c r="F6" t="s">
        <v>190</v>
      </c>
      <c r="I6" t="s">
        <v>274</v>
      </c>
      <c r="J6" t="s">
        <v>275</v>
      </c>
      <c r="K6" t="s">
        <v>276</v>
      </c>
      <c r="L6" t="s">
        <v>277</v>
      </c>
      <c r="O6" t="s">
        <v>383</v>
      </c>
      <c r="P6" t="s">
        <v>384</v>
      </c>
      <c r="Q6" t="s">
        <v>383</v>
      </c>
      <c r="R6" t="s">
        <v>385</v>
      </c>
      <c r="U6" t="s">
        <v>438</v>
      </c>
      <c r="V6" t="s">
        <v>439</v>
      </c>
      <c r="W6" t="s">
        <v>438</v>
      </c>
      <c r="X6" t="s">
        <v>440</v>
      </c>
      <c r="AA6" t="s">
        <v>503</v>
      </c>
      <c r="AB6" t="s">
        <v>504</v>
      </c>
      <c r="AC6" t="s">
        <v>505</v>
      </c>
      <c r="AD6" t="s">
        <v>506</v>
      </c>
    </row>
    <row r="7" spans="2:30" x14ac:dyDescent="0.2">
      <c r="C7" t="s">
        <v>188</v>
      </c>
      <c r="D7" t="s">
        <v>183</v>
      </c>
      <c r="E7" t="s">
        <v>188</v>
      </c>
      <c r="F7" t="s">
        <v>191</v>
      </c>
      <c r="I7" t="s">
        <v>274</v>
      </c>
      <c r="J7" t="s">
        <v>278</v>
      </c>
      <c r="K7" t="s">
        <v>276</v>
      </c>
      <c r="L7" t="s">
        <v>277</v>
      </c>
      <c r="O7" t="s">
        <v>383</v>
      </c>
      <c r="P7" t="s">
        <v>386</v>
      </c>
      <c r="Q7" t="s">
        <v>383</v>
      </c>
      <c r="R7" t="s">
        <v>387</v>
      </c>
      <c r="U7" t="s">
        <v>438</v>
      </c>
      <c r="V7" t="s">
        <v>441</v>
      </c>
      <c r="W7" t="s">
        <v>438</v>
      </c>
      <c r="X7" t="s">
        <v>442</v>
      </c>
      <c r="Z7" t="s">
        <v>194</v>
      </c>
    </row>
    <row r="8" spans="2:30" x14ac:dyDescent="0.2">
      <c r="C8" t="s">
        <v>188</v>
      </c>
      <c r="D8" t="s">
        <v>192</v>
      </c>
      <c r="E8" t="s">
        <v>188</v>
      </c>
      <c r="F8" t="s">
        <v>193</v>
      </c>
      <c r="I8" t="s">
        <v>274</v>
      </c>
      <c r="J8" t="s">
        <v>279</v>
      </c>
      <c r="K8" t="s">
        <v>276</v>
      </c>
      <c r="L8" t="s">
        <v>280</v>
      </c>
      <c r="O8" t="s">
        <v>383</v>
      </c>
      <c r="P8" t="s">
        <v>388</v>
      </c>
      <c r="Q8" t="s">
        <v>383</v>
      </c>
      <c r="R8" t="s">
        <v>387</v>
      </c>
      <c r="U8" t="s">
        <v>438</v>
      </c>
      <c r="V8" t="s">
        <v>443</v>
      </c>
      <c r="W8" t="s">
        <v>438</v>
      </c>
      <c r="X8" t="s">
        <v>444</v>
      </c>
      <c r="AA8" t="s">
        <v>507</v>
      </c>
      <c r="AB8" t="s">
        <v>508</v>
      </c>
      <c r="AC8" t="s">
        <v>509</v>
      </c>
      <c r="AD8">
        <v>10.5</v>
      </c>
    </row>
    <row r="9" spans="2:30" x14ac:dyDescent="0.2">
      <c r="B9" t="s">
        <v>194</v>
      </c>
      <c r="I9" t="s">
        <v>274</v>
      </c>
      <c r="J9" t="s">
        <v>281</v>
      </c>
      <c r="K9" t="s">
        <v>276</v>
      </c>
      <c r="L9" t="s">
        <v>280</v>
      </c>
      <c r="O9" t="s">
        <v>383</v>
      </c>
      <c r="P9" t="s">
        <v>389</v>
      </c>
      <c r="Q9" t="s">
        <v>383</v>
      </c>
      <c r="R9" t="s">
        <v>390</v>
      </c>
      <c r="U9" t="s">
        <v>438</v>
      </c>
      <c r="V9" t="s">
        <v>445</v>
      </c>
      <c r="W9" t="s">
        <v>438</v>
      </c>
      <c r="X9" t="s">
        <v>446</v>
      </c>
      <c r="AA9" t="s">
        <v>507</v>
      </c>
      <c r="AB9" t="s">
        <v>508</v>
      </c>
      <c r="AC9" t="s">
        <v>510</v>
      </c>
      <c r="AD9" t="s">
        <v>511</v>
      </c>
    </row>
    <row r="10" spans="2:30" x14ac:dyDescent="0.2">
      <c r="C10" t="s">
        <v>195</v>
      </c>
      <c r="D10" t="s">
        <v>196</v>
      </c>
      <c r="E10" t="s">
        <v>195</v>
      </c>
      <c r="F10" t="s">
        <v>197</v>
      </c>
      <c r="I10" t="s">
        <v>274</v>
      </c>
      <c r="J10" t="s">
        <v>282</v>
      </c>
      <c r="K10" t="s">
        <v>276</v>
      </c>
      <c r="L10" t="s">
        <v>280</v>
      </c>
      <c r="O10" t="s">
        <v>383</v>
      </c>
      <c r="P10" t="s">
        <v>391</v>
      </c>
      <c r="Q10" t="s">
        <v>383</v>
      </c>
      <c r="R10" t="s">
        <v>390</v>
      </c>
      <c r="U10" t="s">
        <v>438</v>
      </c>
      <c r="V10" t="s">
        <v>447</v>
      </c>
      <c r="W10" t="s">
        <v>438</v>
      </c>
      <c r="X10" t="s">
        <v>448</v>
      </c>
      <c r="AA10" t="s">
        <v>507</v>
      </c>
      <c r="AB10" t="s">
        <v>508</v>
      </c>
      <c r="AC10" t="s">
        <v>512</v>
      </c>
      <c r="AD10">
        <v>10.55</v>
      </c>
    </row>
    <row r="11" spans="2:30" x14ac:dyDescent="0.2">
      <c r="C11" t="s">
        <v>195</v>
      </c>
      <c r="D11" t="s">
        <v>198</v>
      </c>
      <c r="E11" t="s">
        <v>195</v>
      </c>
      <c r="F11" t="s">
        <v>197</v>
      </c>
      <c r="I11" t="s">
        <v>274</v>
      </c>
      <c r="J11" t="s">
        <v>283</v>
      </c>
      <c r="K11" t="s">
        <v>276</v>
      </c>
      <c r="L11" t="s">
        <v>280</v>
      </c>
      <c r="O11" t="s">
        <v>383</v>
      </c>
      <c r="P11" t="s">
        <v>392</v>
      </c>
      <c r="Q11" t="s">
        <v>383</v>
      </c>
      <c r="R11" t="s">
        <v>390</v>
      </c>
      <c r="U11" t="s">
        <v>438</v>
      </c>
      <c r="V11" t="s">
        <v>449</v>
      </c>
      <c r="W11" t="s">
        <v>438</v>
      </c>
      <c r="X11" t="s">
        <v>450</v>
      </c>
      <c r="AA11" t="s">
        <v>507</v>
      </c>
      <c r="AB11" t="s">
        <v>513</v>
      </c>
      <c r="AC11" t="s">
        <v>514</v>
      </c>
      <c r="AD11" t="s">
        <v>511</v>
      </c>
    </row>
    <row r="12" spans="2:30" x14ac:dyDescent="0.2">
      <c r="C12" t="s">
        <v>195</v>
      </c>
      <c r="D12" t="s">
        <v>199</v>
      </c>
      <c r="E12" t="s">
        <v>195</v>
      </c>
      <c r="F12" t="s">
        <v>197</v>
      </c>
      <c r="I12" t="s">
        <v>284</v>
      </c>
      <c r="J12" t="s">
        <v>285</v>
      </c>
      <c r="K12" t="s">
        <v>276</v>
      </c>
      <c r="L12" t="s">
        <v>277</v>
      </c>
      <c r="O12" t="s">
        <v>383</v>
      </c>
      <c r="P12" t="s">
        <v>393</v>
      </c>
      <c r="Q12" t="s">
        <v>383</v>
      </c>
      <c r="R12" t="s">
        <v>394</v>
      </c>
      <c r="U12" t="s">
        <v>438</v>
      </c>
      <c r="V12" t="s">
        <v>451</v>
      </c>
      <c r="W12" t="s">
        <v>438</v>
      </c>
      <c r="X12" t="s">
        <v>452</v>
      </c>
      <c r="AA12" t="s">
        <v>507</v>
      </c>
      <c r="AB12" t="s">
        <v>513</v>
      </c>
      <c r="AC12" t="s">
        <v>515</v>
      </c>
      <c r="AD12">
        <v>102</v>
      </c>
    </row>
    <row r="13" spans="2:30" x14ac:dyDescent="0.2">
      <c r="C13" t="s">
        <v>195</v>
      </c>
      <c r="D13" t="s">
        <v>200</v>
      </c>
      <c r="E13" t="s">
        <v>195</v>
      </c>
      <c r="F13" t="s">
        <v>197</v>
      </c>
      <c r="I13" t="s">
        <v>284</v>
      </c>
      <c r="J13" t="s">
        <v>286</v>
      </c>
      <c r="K13" t="s">
        <v>276</v>
      </c>
      <c r="L13" t="s">
        <v>277</v>
      </c>
      <c r="O13" t="s">
        <v>383</v>
      </c>
      <c r="P13" t="s">
        <v>395</v>
      </c>
      <c r="Q13" t="s">
        <v>383</v>
      </c>
      <c r="R13" t="s">
        <v>396</v>
      </c>
      <c r="U13" t="s">
        <v>438</v>
      </c>
      <c r="V13" t="s">
        <v>453</v>
      </c>
      <c r="W13" t="s">
        <v>438</v>
      </c>
      <c r="X13" t="s">
        <v>454</v>
      </c>
      <c r="Z13" t="s">
        <v>210</v>
      </c>
    </row>
    <row r="14" spans="2:30" x14ac:dyDescent="0.2">
      <c r="C14" t="s">
        <v>195</v>
      </c>
      <c r="D14" t="s">
        <v>201</v>
      </c>
      <c r="E14" t="s">
        <v>195</v>
      </c>
      <c r="F14" t="s">
        <v>197</v>
      </c>
      <c r="I14" t="s">
        <v>284</v>
      </c>
      <c r="J14" t="s">
        <v>287</v>
      </c>
      <c r="K14" t="s">
        <v>276</v>
      </c>
      <c r="L14" t="s">
        <v>280</v>
      </c>
      <c r="O14" t="s">
        <v>383</v>
      </c>
      <c r="P14" t="s">
        <v>397</v>
      </c>
      <c r="Q14" t="s">
        <v>383</v>
      </c>
      <c r="R14" t="s">
        <v>398</v>
      </c>
      <c r="U14" t="s">
        <v>438</v>
      </c>
      <c r="V14" t="s">
        <v>455</v>
      </c>
      <c r="W14" t="s">
        <v>438</v>
      </c>
      <c r="X14" t="s">
        <v>454</v>
      </c>
      <c r="AA14" t="s">
        <v>516</v>
      </c>
      <c r="AB14" t="s">
        <v>508</v>
      </c>
      <c r="AC14" t="s">
        <v>517</v>
      </c>
      <c r="AD14" t="s">
        <v>518</v>
      </c>
    </row>
    <row r="15" spans="2:30" x14ac:dyDescent="0.2">
      <c r="C15" t="s">
        <v>195</v>
      </c>
      <c r="D15" s="82" t="s">
        <v>771</v>
      </c>
      <c r="E15" t="s">
        <v>195</v>
      </c>
      <c r="F15" t="s">
        <v>202</v>
      </c>
      <c r="I15" t="s">
        <v>284</v>
      </c>
      <c r="J15" t="s">
        <v>288</v>
      </c>
      <c r="K15" t="s">
        <v>276</v>
      </c>
      <c r="L15" t="s">
        <v>280</v>
      </c>
      <c r="N15" t="s">
        <v>194</v>
      </c>
      <c r="U15" t="s">
        <v>438</v>
      </c>
      <c r="V15" t="s">
        <v>456</v>
      </c>
      <c r="W15" t="s">
        <v>438</v>
      </c>
      <c r="X15" t="s">
        <v>454</v>
      </c>
      <c r="AA15" t="s">
        <v>516</v>
      </c>
      <c r="AB15" t="s">
        <v>519</v>
      </c>
      <c r="AC15" t="s">
        <v>520</v>
      </c>
      <c r="AD15" t="s">
        <v>521</v>
      </c>
    </row>
    <row r="16" spans="2:30" x14ac:dyDescent="0.2">
      <c r="I16" t="s">
        <v>284</v>
      </c>
      <c r="J16" t="s">
        <v>289</v>
      </c>
      <c r="K16" t="s">
        <v>276</v>
      </c>
      <c r="L16" t="s">
        <v>280</v>
      </c>
      <c r="O16" t="s">
        <v>399</v>
      </c>
      <c r="P16" t="s">
        <v>384</v>
      </c>
      <c r="Q16" t="s">
        <v>399</v>
      </c>
      <c r="R16" t="s">
        <v>385</v>
      </c>
      <c r="U16" t="s">
        <v>438</v>
      </c>
      <c r="V16" t="s">
        <v>457</v>
      </c>
      <c r="W16" t="s">
        <v>438</v>
      </c>
      <c r="X16" t="s">
        <v>454</v>
      </c>
      <c r="AA16" t="s">
        <v>516</v>
      </c>
      <c r="AB16" t="s">
        <v>513</v>
      </c>
      <c r="AC16" t="s">
        <v>522</v>
      </c>
      <c r="AD16" t="s">
        <v>523</v>
      </c>
    </row>
    <row r="17" spans="3:30" x14ac:dyDescent="0.2">
      <c r="C17" t="s">
        <v>203</v>
      </c>
      <c r="D17" t="s">
        <v>196</v>
      </c>
      <c r="E17" t="s">
        <v>203</v>
      </c>
      <c r="F17" t="s">
        <v>197</v>
      </c>
      <c r="I17" t="s">
        <v>284</v>
      </c>
      <c r="J17" t="s">
        <v>290</v>
      </c>
      <c r="K17" t="s">
        <v>276</v>
      </c>
      <c r="L17" t="s">
        <v>280</v>
      </c>
      <c r="O17" t="s">
        <v>399</v>
      </c>
      <c r="P17" t="s">
        <v>386</v>
      </c>
      <c r="Q17" t="s">
        <v>399</v>
      </c>
      <c r="R17" t="s">
        <v>387</v>
      </c>
      <c r="U17" t="s">
        <v>438</v>
      </c>
      <c r="V17" t="s">
        <v>458</v>
      </c>
      <c r="W17" t="s">
        <v>438</v>
      </c>
      <c r="X17" t="s">
        <v>454</v>
      </c>
      <c r="AA17" t="s">
        <v>524</v>
      </c>
      <c r="AB17" t="s">
        <v>508</v>
      </c>
      <c r="AC17" t="s">
        <v>525</v>
      </c>
      <c r="AD17" t="s">
        <v>526</v>
      </c>
    </row>
    <row r="18" spans="3:30" x14ac:dyDescent="0.2">
      <c r="C18" t="s">
        <v>203</v>
      </c>
      <c r="D18" t="s">
        <v>198</v>
      </c>
      <c r="E18" t="s">
        <v>203</v>
      </c>
      <c r="F18" t="s">
        <v>197</v>
      </c>
      <c r="H18" t="s">
        <v>194</v>
      </c>
      <c r="O18" t="s">
        <v>399</v>
      </c>
      <c r="P18" t="s">
        <v>388</v>
      </c>
      <c r="Q18" t="s">
        <v>399</v>
      </c>
      <c r="R18" t="s">
        <v>387</v>
      </c>
      <c r="U18" t="s">
        <v>438</v>
      </c>
      <c r="V18" t="s">
        <v>459</v>
      </c>
      <c r="W18" t="s">
        <v>438</v>
      </c>
      <c r="X18" t="s">
        <v>454</v>
      </c>
      <c r="AA18" t="s">
        <v>524</v>
      </c>
      <c r="AB18" t="s">
        <v>508</v>
      </c>
      <c r="AC18" t="s">
        <v>527</v>
      </c>
      <c r="AD18" t="s">
        <v>528</v>
      </c>
    </row>
    <row r="19" spans="3:30" x14ac:dyDescent="0.2">
      <c r="C19" t="s">
        <v>203</v>
      </c>
      <c r="D19" t="s">
        <v>199</v>
      </c>
      <c r="E19" t="s">
        <v>203</v>
      </c>
      <c r="F19" t="s">
        <v>202</v>
      </c>
      <c r="I19" t="s">
        <v>291</v>
      </c>
      <c r="J19" t="s">
        <v>292</v>
      </c>
      <c r="K19" t="s">
        <v>293</v>
      </c>
      <c r="L19" t="b">
        <v>1</v>
      </c>
      <c r="O19" t="s">
        <v>399</v>
      </c>
      <c r="P19" t="s">
        <v>389</v>
      </c>
      <c r="Q19" t="s">
        <v>399</v>
      </c>
      <c r="R19" t="s">
        <v>390</v>
      </c>
      <c r="T19" t="s">
        <v>194</v>
      </c>
      <c r="AA19" t="s">
        <v>524</v>
      </c>
      <c r="AB19" t="s">
        <v>508</v>
      </c>
      <c r="AC19" t="s">
        <v>529</v>
      </c>
      <c r="AD19" t="s">
        <v>530</v>
      </c>
    </row>
    <row r="20" spans="3:30" x14ac:dyDescent="0.2">
      <c r="C20" t="s">
        <v>203</v>
      </c>
      <c r="D20" t="s">
        <v>200</v>
      </c>
      <c r="E20" t="s">
        <v>203</v>
      </c>
      <c r="F20" t="s">
        <v>202</v>
      </c>
      <c r="I20" t="s">
        <v>291</v>
      </c>
      <c r="J20" t="s">
        <v>292</v>
      </c>
      <c r="K20" t="s">
        <v>294</v>
      </c>
      <c r="L20" t="b">
        <v>1</v>
      </c>
      <c r="O20" t="s">
        <v>399</v>
      </c>
      <c r="P20" t="s">
        <v>391</v>
      </c>
      <c r="Q20" t="s">
        <v>399</v>
      </c>
      <c r="R20" t="s">
        <v>390</v>
      </c>
      <c r="U20" t="s">
        <v>460</v>
      </c>
      <c r="V20" t="s">
        <v>461</v>
      </c>
      <c r="W20" t="s">
        <v>460</v>
      </c>
      <c r="X20" t="s">
        <v>440</v>
      </c>
      <c r="AA20" t="s">
        <v>524</v>
      </c>
      <c r="AB20" t="s">
        <v>513</v>
      </c>
      <c r="AC20" t="s">
        <v>531</v>
      </c>
      <c r="AD20" t="s">
        <v>532</v>
      </c>
    </row>
    <row r="21" spans="3:30" x14ac:dyDescent="0.2">
      <c r="C21" t="s">
        <v>203</v>
      </c>
      <c r="D21" t="s">
        <v>201</v>
      </c>
      <c r="E21" t="s">
        <v>203</v>
      </c>
      <c r="F21" t="s">
        <v>202</v>
      </c>
      <c r="I21" t="s">
        <v>291</v>
      </c>
      <c r="J21" t="s">
        <v>292</v>
      </c>
      <c r="K21" t="s">
        <v>295</v>
      </c>
      <c r="L21" t="b">
        <v>0</v>
      </c>
      <c r="O21" t="s">
        <v>399</v>
      </c>
      <c r="P21" t="s">
        <v>392</v>
      </c>
      <c r="Q21" t="s">
        <v>399</v>
      </c>
      <c r="R21" t="s">
        <v>400</v>
      </c>
      <c r="U21" t="s">
        <v>460</v>
      </c>
      <c r="V21" t="s">
        <v>462</v>
      </c>
      <c r="W21" t="s">
        <v>460</v>
      </c>
      <c r="X21" t="s">
        <v>446</v>
      </c>
      <c r="Z21" t="s">
        <v>219</v>
      </c>
    </row>
    <row r="22" spans="3:30" x14ac:dyDescent="0.2">
      <c r="C22" t="s">
        <v>203</v>
      </c>
      <c r="D22" s="82" t="s">
        <v>771</v>
      </c>
      <c r="E22" t="s">
        <v>203</v>
      </c>
      <c r="F22" t="s">
        <v>202</v>
      </c>
      <c r="I22" t="s">
        <v>291</v>
      </c>
      <c r="J22" t="s">
        <v>292</v>
      </c>
      <c r="K22" t="s">
        <v>296</v>
      </c>
      <c r="L22" t="b">
        <v>0</v>
      </c>
      <c r="O22" t="s">
        <v>399</v>
      </c>
      <c r="P22" t="s">
        <v>393</v>
      </c>
      <c r="Q22" t="s">
        <v>399</v>
      </c>
      <c r="R22" t="s">
        <v>401</v>
      </c>
      <c r="U22" t="s">
        <v>460</v>
      </c>
      <c r="V22" t="s">
        <v>463</v>
      </c>
      <c r="W22" t="s">
        <v>460</v>
      </c>
      <c r="X22" t="s">
        <v>444</v>
      </c>
      <c r="AA22" t="s">
        <v>533</v>
      </c>
      <c r="AB22" t="s">
        <v>534</v>
      </c>
      <c r="AC22" t="s">
        <v>535</v>
      </c>
      <c r="AD22" t="s">
        <v>536</v>
      </c>
    </row>
    <row r="23" spans="3:30" x14ac:dyDescent="0.2">
      <c r="H23" t="s">
        <v>210</v>
      </c>
      <c r="O23" t="s">
        <v>399</v>
      </c>
      <c r="P23" t="s">
        <v>395</v>
      </c>
      <c r="Q23" t="s">
        <v>399</v>
      </c>
      <c r="R23" t="s">
        <v>396</v>
      </c>
      <c r="U23" t="s">
        <v>460</v>
      </c>
      <c r="V23" t="s">
        <v>464</v>
      </c>
      <c r="W23" t="s">
        <v>460</v>
      </c>
      <c r="X23" t="s">
        <v>454</v>
      </c>
      <c r="AA23" t="s">
        <v>533</v>
      </c>
      <c r="AB23" t="s">
        <v>537</v>
      </c>
      <c r="AC23" t="s">
        <v>535</v>
      </c>
      <c r="AD23" t="s">
        <v>538</v>
      </c>
    </row>
    <row r="24" spans="3:30" x14ac:dyDescent="0.2">
      <c r="C24" t="s">
        <v>204</v>
      </c>
      <c r="D24" t="s">
        <v>196</v>
      </c>
      <c r="E24" t="s">
        <v>204</v>
      </c>
      <c r="F24" t="s">
        <v>197</v>
      </c>
      <c r="I24" t="s">
        <v>297</v>
      </c>
      <c r="J24" t="s">
        <v>298</v>
      </c>
      <c r="K24" t="s">
        <v>299</v>
      </c>
      <c r="L24">
        <v>-1</v>
      </c>
      <c r="O24" t="s">
        <v>399</v>
      </c>
      <c r="P24" t="s">
        <v>402</v>
      </c>
      <c r="Q24" t="s">
        <v>399</v>
      </c>
      <c r="R24" t="s">
        <v>403</v>
      </c>
      <c r="T24" t="s">
        <v>210</v>
      </c>
      <c r="AA24" t="s">
        <v>533</v>
      </c>
      <c r="AB24" t="s">
        <v>539</v>
      </c>
      <c r="AC24" t="s">
        <v>535</v>
      </c>
      <c r="AD24" t="s">
        <v>540</v>
      </c>
    </row>
    <row r="25" spans="3:30" x14ac:dyDescent="0.2">
      <c r="C25" t="s">
        <v>204</v>
      </c>
      <c r="D25" t="s">
        <v>198</v>
      </c>
      <c r="E25" t="s">
        <v>204</v>
      </c>
      <c r="F25" t="s">
        <v>202</v>
      </c>
      <c r="I25" t="s">
        <v>297</v>
      </c>
      <c r="J25" t="s">
        <v>298</v>
      </c>
      <c r="K25" t="s">
        <v>300</v>
      </c>
      <c r="L25">
        <v>0</v>
      </c>
      <c r="O25" t="s">
        <v>399</v>
      </c>
      <c r="P25" t="s">
        <v>404</v>
      </c>
      <c r="Q25" t="s">
        <v>399</v>
      </c>
      <c r="R25" t="s">
        <v>405</v>
      </c>
      <c r="U25" t="s">
        <v>465</v>
      </c>
      <c r="V25" t="s">
        <v>466</v>
      </c>
      <c r="W25" t="s">
        <v>467</v>
      </c>
      <c r="X25" t="s">
        <v>440</v>
      </c>
      <c r="AA25" t="s">
        <v>533</v>
      </c>
      <c r="AB25" t="s">
        <v>541</v>
      </c>
      <c r="AC25" t="s">
        <v>535</v>
      </c>
      <c r="AD25" t="s">
        <v>542</v>
      </c>
    </row>
    <row r="26" spans="3:30" x14ac:dyDescent="0.2">
      <c r="C26" t="s">
        <v>204</v>
      </c>
      <c r="D26" t="s">
        <v>199</v>
      </c>
      <c r="E26" t="s">
        <v>204</v>
      </c>
      <c r="F26" t="s">
        <v>202</v>
      </c>
      <c r="I26" t="s">
        <v>297</v>
      </c>
      <c r="J26" t="s">
        <v>298</v>
      </c>
      <c r="K26" t="s">
        <v>301</v>
      </c>
      <c r="L26">
        <v>0</v>
      </c>
      <c r="N26" t="s">
        <v>210</v>
      </c>
      <c r="U26" t="s">
        <v>465</v>
      </c>
      <c r="V26" t="s">
        <v>468</v>
      </c>
      <c r="W26" t="s">
        <v>467</v>
      </c>
      <c r="X26" t="s">
        <v>446</v>
      </c>
      <c r="Z26" t="s">
        <v>223</v>
      </c>
    </row>
    <row r="27" spans="3:30" x14ac:dyDescent="0.2">
      <c r="C27" t="s">
        <v>204</v>
      </c>
      <c r="D27" t="s">
        <v>200</v>
      </c>
      <c r="E27" t="s">
        <v>204</v>
      </c>
      <c r="F27" t="s">
        <v>202</v>
      </c>
      <c r="I27" t="s">
        <v>297</v>
      </c>
      <c r="J27" t="s">
        <v>298</v>
      </c>
      <c r="K27" t="s">
        <v>302</v>
      </c>
      <c r="L27">
        <v>0</v>
      </c>
      <c r="O27" t="s">
        <v>406</v>
      </c>
      <c r="P27" t="s">
        <v>407</v>
      </c>
      <c r="Q27" t="s">
        <v>406</v>
      </c>
      <c r="R27" t="s">
        <v>385</v>
      </c>
      <c r="U27" t="s">
        <v>465</v>
      </c>
      <c r="V27" t="s">
        <v>469</v>
      </c>
      <c r="W27" t="s">
        <v>467</v>
      </c>
      <c r="X27" t="s">
        <v>452</v>
      </c>
      <c r="AA27" t="s">
        <v>543</v>
      </c>
      <c r="AB27" t="s">
        <v>544</v>
      </c>
      <c r="AC27" t="s">
        <v>545</v>
      </c>
      <c r="AD27" t="s">
        <v>546</v>
      </c>
    </row>
    <row r="28" spans="3:30" x14ac:dyDescent="0.2">
      <c r="C28" t="s">
        <v>204</v>
      </c>
      <c r="D28" t="s">
        <v>201</v>
      </c>
      <c r="E28" t="s">
        <v>204</v>
      </c>
      <c r="F28" t="s">
        <v>202</v>
      </c>
      <c r="I28" t="s">
        <v>297</v>
      </c>
      <c r="J28" t="s">
        <v>298</v>
      </c>
      <c r="K28" t="s">
        <v>303</v>
      </c>
      <c r="L28">
        <v>1</v>
      </c>
      <c r="O28" t="s">
        <v>406</v>
      </c>
      <c r="P28" t="s">
        <v>386</v>
      </c>
      <c r="Q28" t="s">
        <v>406</v>
      </c>
      <c r="R28" t="s">
        <v>387</v>
      </c>
      <c r="U28" t="s">
        <v>465</v>
      </c>
      <c r="V28" t="s">
        <v>470</v>
      </c>
      <c r="W28" t="s">
        <v>467</v>
      </c>
      <c r="X28" t="s">
        <v>448</v>
      </c>
      <c r="AA28" t="s">
        <v>543</v>
      </c>
      <c r="AB28" t="s">
        <v>547</v>
      </c>
      <c r="AC28" t="s">
        <v>545</v>
      </c>
      <c r="AD28" t="s">
        <v>280</v>
      </c>
    </row>
    <row r="29" spans="3:30" x14ac:dyDescent="0.2">
      <c r="C29" t="s">
        <v>204</v>
      </c>
      <c r="D29" s="82" t="s">
        <v>771</v>
      </c>
      <c r="E29" t="s">
        <v>204</v>
      </c>
      <c r="F29" t="s">
        <v>202</v>
      </c>
      <c r="H29" t="s">
        <v>219</v>
      </c>
      <c r="O29" t="s">
        <v>406</v>
      </c>
      <c r="P29" t="s">
        <v>393</v>
      </c>
      <c r="Q29" t="s">
        <v>406</v>
      </c>
      <c r="R29" t="s">
        <v>396</v>
      </c>
      <c r="U29" t="s">
        <v>465</v>
      </c>
      <c r="V29" t="s">
        <v>471</v>
      </c>
      <c r="W29" t="s">
        <v>467</v>
      </c>
      <c r="X29" t="s">
        <v>454</v>
      </c>
      <c r="AA29" t="s">
        <v>543</v>
      </c>
      <c r="AB29" t="s">
        <v>548</v>
      </c>
      <c r="AC29" t="s">
        <v>545</v>
      </c>
      <c r="AD29" t="s">
        <v>54</v>
      </c>
    </row>
    <row r="30" spans="3:30" x14ac:dyDescent="0.2">
      <c r="I30" t="s">
        <v>304</v>
      </c>
      <c r="J30" t="s">
        <v>298</v>
      </c>
      <c r="K30" t="s">
        <v>305</v>
      </c>
      <c r="L30">
        <v>16</v>
      </c>
      <c r="O30" t="s">
        <v>406</v>
      </c>
      <c r="P30" t="s">
        <v>402</v>
      </c>
      <c r="Q30" t="s">
        <v>406</v>
      </c>
      <c r="R30" t="s">
        <v>398</v>
      </c>
      <c r="U30" t="s">
        <v>465</v>
      </c>
      <c r="V30" t="s">
        <v>472</v>
      </c>
      <c r="W30" t="s">
        <v>467</v>
      </c>
      <c r="X30" t="s">
        <v>454</v>
      </c>
      <c r="AA30" t="s">
        <v>543</v>
      </c>
      <c r="AB30" t="s">
        <v>549</v>
      </c>
      <c r="AC30" t="s">
        <v>545</v>
      </c>
      <c r="AD30" t="s">
        <v>54</v>
      </c>
    </row>
    <row r="31" spans="3:30" x14ac:dyDescent="0.2">
      <c r="C31" t="s">
        <v>205</v>
      </c>
      <c r="D31" t="s">
        <v>196</v>
      </c>
      <c r="E31" t="s">
        <v>205</v>
      </c>
      <c r="F31" t="s">
        <v>197</v>
      </c>
      <c r="I31" t="s">
        <v>304</v>
      </c>
      <c r="J31" t="s">
        <v>298</v>
      </c>
      <c r="K31" t="s">
        <v>306</v>
      </c>
      <c r="L31">
        <v>16</v>
      </c>
      <c r="N31" t="s">
        <v>219</v>
      </c>
      <c r="U31" t="s">
        <v>465</v>
      </c>
      <c r="V31" t="s">
        <v>473</v>
      </c>
      <c r="W31" t="s">
        <v>467</v>
      </c>
      <c r="X31" t="s">
        <v>454</v>
      </c>
      <c r="AA31" t="s">
        <v>543</v>
      </c>
      <c r="AB31" t="s">
        <v>550</v>
      </c>
      <c r="AC31" t="s">
        <v>545</v>
      </c>
      <c r="AD31" t="s">
        <v>546</v>
      </c>
    </row>
    <row r="32" spans="3:30" x14ac:dyDescent="0.2">
      <c r="C32" t="s">
        <v>205</v>
      </c>
      <c r="D32" t="s">
        <v>198</v>
      </c>
      <c r="E32" t="s">
        <v>205</v>
      </c>
      <c r="F32" t="s">
        <v>197</v>
      </c>
      <c r="I32" t="s">
        <v>304</v>
      </c>
      <c r="J32" t="s">
        <v>298</v>
      </c>
      <c r="K32" t="s">
        <v>307</v>
      </c>
      <c r="L32">
        <v>16</v>
      </c>
      <c r="O32" t="s">
        <v>408</v>
      </c>
      <c r="P32" t="s">
        <v>409</v>
      </c>
      <c r="Q32" t="s">
        <v>408</v>
      </c>
      <c r="R32" t="s">
        <v>385</v>
      </c>
      <c r="T32" t="s">
        <v>219</v>
      </c>
      <c r="AA32" t="s">
        <v>543</v>
      </c>
      <c r="AB32" t="s">
        <v>551</v>
      </c>
      <c r="AC32" t="s">
        <v>545</v>
      </c>
      <c r="AD32" t="s">
        <v>552</v>
      </c>
    </row>
    <row r="33" spans="3:30" x14ac:dyDescent="0.2">
      <c r="C33" t="s">
        <v>205</v>
      </c>
      <c r="D33" t="s">
        <v>199</v>
      </c>
      <c r="E33" t="s">
        <v>205</v>
      </c>
      <c r="F33" t="s">
        <v>197</v>
      </c>
      <c r="I33" t="s">
        <v>304</v>
      </c>
      <c r="J33" t="s">
        <v>298</v>
      </c>
      <c r="K33" t="s">
        <v>308</v>
      </c>
      <c r="L33">
        <v>16</v>
      </c>
      <c r="O33" t="s">
        <v>408</v>
      </c>
      <c r="P33" t="s">
        <v>410</v>
      </c>
      <c r="Q33" t="s">
        <v>408</v>
      </c>
      <c r="R33" t="s">
        <v>387</v>
      </c>
      <c r="U33" t="s">
        <v>474</v>
      </c>
      <c r="V33" t="s">
        <v>475</v>
      </c>
      <c r="W33" t="s">
        <v>474</v>
      </c>
      <c r="X33" t="s">
        <v>440</v>
      </c>
      <c r="AA33" t="s">
        <v>543</v>
      </c>
      <c r="AB33" t="s">
        <v>553</v>
      </c>
      <c r="AC33" t="s">
        <v>545</v>
      </c>
      <c r="AD33" t="s">
        <v>554</v>
      </c>
    </row>
    <row r="34" spans="3:30" x14ac:dyDescent="0.2">
      <c r="C34" t="s">
        <v>205</v>
      </c>
      <c r="D34" t="s">
        <v>200</v>
      </c>
      <c r="E34" t="s">
        <v>205</v>
      </c>
      <c r="F34" t="s">
        <v>202</v>
      </c>
      <c r="I34" t="s">
        <v>304</v>
      </c>
      <c r="J34" t="s">
        <v>298</v>
      </c>
      <c r="K34" t="s">
        <v>309</v>
      </c>
      <c r="L34">
        <v>17</v>
      </c>
      <c r="O34" t="s">
        <v>408</v>
      </c>
      <c r="P34" t="s">
        <v>411</v>
      </c>
      <c r="Q34" t="s">
        <v>408</v>
      </c>
      <c r="R34" t="s">
        <v>387</v>
      </c>
      <c r="U34" t="s">
        <v>474</v>
      </c>
      <c r="V34" t="s">
        <v>476</v>
      </c>
      <c r="W34" t="s">
        <v>474</v>
      </c>
      <c r="X34" t="s">
        <v>444</v>
      </c>
      <c r="AA34" t="s">
        <v>543</v>
      </c>
      <c r="AB34" t="s">
        <v>555</v>
      </c>
      <c r="AC34" t="s">
        <v>545</v>
      </c>
      <c r="AD34" t="s">
        <v>554</v>
      </c>
    </row>
    <row r="35" spans="3:30" x14ac:dyDescent="0.2">
      <c r="C35" t="s">
        <v>205</v>
      </c>
      <c r="D35" t="s">
        <v>201</v>
      </c>
      <c r="E35" t="s">
        <v>205</v>
      </c>
      <c r="F35" t="s">
        <v>202</v>
      </c>
      <c r="I35" t="s">
        <v>304</v>
      </c>
      <c r="J35" t="s">
        <v>298</v>
      </c>
      <c r="K35" t="s">
        <v>310</v>
      </c>
      <c r="L35">
        <v>63</v>
      </c>
      <c r="O35" t="s">
        <v>408</v>
      </c>
      <c r="P35" t="s">
        <v>412</v>
      </c>
      <c r="Q35" t="s">
        <v>408</v>
      </c>
      <c r="R35" t="s">
        <v>413</v>
      </c>
      <c r="U35" t="s">
        <v>474</v>
      </c>
      <c r="V35" t="s">
        <v>475</v>
      </c>
      <c r="W35" t="s">
        <v>474</v>
      </c>
      <c r="X35" t="s">
        <v>440</v>
      </c>
      <c r="Z35" t="s">
        <v>244</v>
      </c>
    </row>
    <row r="36" spans="3:30" x14ac:dyDescent="0.2">
      <c r="C36" t="s">
        <v>205</v>
      </c>
      <c r="D36" s="82" t="s">
        <v>771</v>
      </c>
      <c r="E36" t="s">
        <v>205</v>
      </c>
      <c r="F36" t="s">
        <v>202</v>
      </c>
      <c r="I36" t="s">
        <v>304</v>
      </c>
      <c r="J36" t="s">
        <v>298</v>
      </c>
      <c r="K36" t="s">
        <v>311</v>
      </c>
      <c r="L36">
        <v>64</v>
      </c>
      <c r="O36" t="s">
        <v>408</v>
      </c>
      <c r="P36" t="s">
        <v>414</v>
      </c>
      <c r="Q36" t="s">
        <v>408</v>
      </c>
      <c r="R36" t="s">
        <v>413</v>
      </c>
      <c r="U36" t="s">
        <v>474</v>
      </c>
      <c r="V36" t="s">
        <v>477</v>
      </c>
      <c r="W36" t="s">
        <v>474</v>
      </c>
      <c r="X36" t="s">
        <v>454</v>
      </c>
      <c r="AA36" t="s">
        <v>556</v>
      </c>
      <c r="AB36" t="s">
        <v>557</v>
      </c>
      <c r="AC36" t="s">
        <v>558</v>
      </c>
      <c r="AD36" t="s">
        <v>559</v>
      </c>
    </row>
    <row r="37" spans="3:30" x14ac:dyDescent="0.2">
      <c r="I37" t="s">
        <v>304</v>
      </c>
      <c r="J37" t="s">
        <v>298</v>
      </c>
      <c r="K37" t="s">
        <v>312</v>
      </c>
      <c r="L37">
        <v>64</v>
      </c>
      <c r="O37" t="s">
        <v>408</v>
      </c>
      <c r="P37" t="s">
        <v>415</v>
      </c>
      <c r="Q37" t="s">
        <v>408</v>
      </c>
      <c r="R37" t="s">
        <v>390</v>
      </c>
      <c r="U37" t="s">
        <v>474</v>
      </c>
      <c r="V37" t="s">
        <v>478</v>
      </c>
      <c r="W37" t="s">
        <v>474</v>
      </c>
      <c r="X37" t="s">
        <v>454</v>
      </c>
      <c r="AA37" t="s">
        <v>556</v>
      </c>
      <c r="AB37" t="s">
        <v>560</v>
      </c>
      <c r="AC37" t="s">
        <v>558</v>
      </c>
      <c r="AD37" t="s">
        <v>561</v>
      </c>
    </row>
    <row r="38" spans="3:30" x14ac:dyDescent="0.2">
      <c r="C38" t="s">
        <v>206</v>
      </c>
      <c r="D38" t="s">
        <v>196</v>
      </c>
      <c r="E38" t="s">
        <v>206</v>
      </c>
      <c r="F38" t="s">
        <v>202</v>
      </c>
      <c r="H38" t="s">
        <v>223</v>
      </c>
      <c r="O38" t="s">
        <v>408</v>
      </c>
      <c r="P38" t="s">
        <v>416</v>
      </c>
      <c r="Q38" t="s">
        <v>408</v>
      </c>
      <c r="R38" t="s">
        <v>417</v>
      </c>
      <c r="U38" t="s">
        <v>474</v>
      </c>
      <c r="V38" t="s">
        <v>479</v>
      </c>
      <c r="W38" t="s">
        <v>474</v>
      </c>
      <c r="X38" t="s">
        <v>440</v>
      </c>
      <c r="AA38" t="s">
        <v>556</v>
      </c>
      <c r="AB38" t="s">
        <v>562</v>
      </c>
      <c r="AC38" t="s">
        <v>558</v>
      </c>
      <c r="AD38" t="s">
        <v>559</v>
      </c>
    </row>
    <row r="39" spans="3:30" x14ac:dyDescent="0.2">
      <c r="C39" t="s">
        <v>206</v>
      </c>
      <c r="D39" t="s">
        <v>198</v>
      </c>
      <c r="E39" t="s">
        <v>206</v>
      </c>
      <c r="F39" t="s">
        <v>197</v>
      </c>
      <c r="I39" t="s">
        <v>313</v>
      </c>
      <c r="J39" t="s">
        <v>298</v>
      </c>
      <c r="K39" t="s">
        <v>313</v>
      </c>
      <c r="L39">
        <v>16</v>
      </c>
      <c r="O39" t="s">
        <v>408</v>
      </c>
      <c r="P39" t="s">
        <v>418</v>
      </c>
      <c r="Q39" t="s">
        <v>408</v>
      </c>
      <c r="R39" t="s">
        <v>419</v>
      </c>
      <c r="U39" t="s">
        <v>474</v>
      </c>
      <c r="V39" t="s">
        <v>480</v>
      </c>
      <c r="W39" t="s">
        <v>474</v>
      </c>
      <c r="X39" t="s">
        <v>444</v>
      </c>
      <c r="AA39" t="s">
        <v>556</v>
      </c>
      <c r="AB39" t="s">
        <v>563</v>
      </c>
      <c r="AC39" t="s">
        <v>558</v>
      </c>
      <c r="AD39" t="s">
        <v>564</v>
      </c>
    </row>
    <row r="40" spans="3:30" x14ac:dyDescent="0.2">
      <c r="C40" t="s">
        <v>206</v>
      </c>
      <c r="D40" t="s">
        <v>199</v>
      </c>
      <c r="E40" t="s">
        <v>206</v>
      </c>
      <c r="F40" t="s">
        <v>202</v>
      </c>
      <c r="I40" t="s">
        <v>314</v>
      </c>
      <c r="J40" t="s">
        <v>298</v>
      </c>
      <c r="K40" t="s">
        <v>314</v>
      </c>
      <c r="L40">
        <v>64</v>
      </c>
      <c r="O40" t="s">
        <v>408</v>
      </c>
      <c r="P40" t="s">
        <v>420</v>
      </c>
      <c r="Q40" t="s">
        <v>408</v>
      </c>
      <c r="R40" t="s">
        <v>421</v>
      </c>
      <c r="U40" t="s">
        <v>474</v>
      </c>
      <c r="V40" t="s">
        <v>479</v>
      </c>
      <c r="W40" t="s">
        <v>474</v>
      </c>
      <c r="X40" t="s">
        <v>440</v>
      </c>
      <c r="AA40" t="s">
        <v>556</v>
      </c>
      <c r="AB40" t="s">
        <v>565</v>
      </c>
      <c r="AC40" t="s">
        <v>558</v>
      </c>
      <c r="AD40" t="s">
        <v>566</v>
      </c>
    </row>
    <row r="41" spans="3:30" x14ac:dyDescent="0.2">
      <c r="C41" t="s">
        <v>206</v>
      </c>
      <c r="D41" t="s">
        <v>200</v>
      </c>
      <c r="E41" t="s">
        <v>206</v>
      </c>
      <c r="F41" t="s">
        <v>202</v>
      </c>
      <c r="H41" t="s">
        <v>244</v>
      </c>
      <c r="O41" t="s">
        <v>408</v>
      </c>
      <c r="P41" t="s">
        <v>422</v>
      </c>
      <c r="Q41" t="s">
        <v>408</v>
      </c>
      <c r="R41" t="s">
        <v>423</v>
      </c>
      <c r="U41" t="s">
        <v>474</v>
      </c>
      <c r="V41" t="s">
        <v>481</v>
      </c>
      <c r="W41" t="s">
        <v>474</v>
      </c>
      <c r="X41" t="s">
        <v>454</v>
      </c>
      <c r="AA41" t="s">
        <v>556</v>
      </c>
      <c r="AB41" t="s">
        <v>567</v>
      </c>
      <c r="AC41" t="s">
        <v>558</v>
      </c>
      <c r="AD41" t="s">
        <v>566</v>
      </c>
    </row>
    <row r="42" spans="3:30" x14ac:dyDescent="0.2">
      <c r="C42" t="s">
        <v>206</v>
      </c>
      <c r="D42" t="s">
        <v>201</v>
      </c>
      <c r="E42" t="s">
        <v>206</v>
      </c>
      <c r="F42" t="s">
        <v>202</v>
      </c>
      <c r="I42" t="s">
        <v>315</v>
      </c>
      <c r="J42" t="s">
        <v>316</v>
      </c>
      <c r="K42" t="s">
        <v>317</v>
      </c>
      <c r="L42" t="s">
        <v>318</v>
      </c>
      <c r="O42" t="s">
        <v>408</v>
      </c>
      <c r="P42" t="s">
        <v>424</v>
      </c>
      <c r="Q42" t="s">
        <v>408</v>
      </c>
      <c r="R42" t="s">
        <v>425</v>
      </c>
      <c r="U42" t="s">
        <v>474</v>
      </c>
      <c r="V42" t="s">
        <v>482</v>
      </c>
      <c r="W42" t="s">
        <v>474</v>
      </c>
      <c r="X42" t="s">
        <v>454</v>
      </c>
      <c r="AA42" t="s">
        <v>556</v>
      </c>
      <c r="AB42" t="s">
        <v>568</v>
      </c>
      <c r="AC42" t="s">
        <v>558</v>
      </c>
      <c r="AD42" t="s">
        <v>569</v>
      </c>
    </row>
    <row r="43" spans="3:30" x14ac:dyDescent="0.2">
      <c r="C43" t="s">
        <v>206</v>
      </c>
      <c r="D43" s="82" t="s">
        <v>771</v>
      </c>
      <c r="E43" t="s">
        <v>206</v>
      </c>
      <c r="F43" t="s">
        <v>202</v>
      </c>
      <c r="I43" t="s">
        <v>315</v>
      </c>
      <c r="J43" t="s">
        <v>319</v>
      </c>
      <c r="K43" t="s">
        <v>317</v>
      </c>
      <c r="L43" t="s">
        <v>54</v>
      </c>
      <c r="O43" t="s">
        <v>408</v>
      </c>
      <c r="P43" t="s">
        <v>426</v>
      </c>
      <c r="Q43" t="s">
        <v>408</v>
      </c>
      <c r="R43" t="s">
        <v>398</v>
      </c>
      <c r="U43" t="s">
        <v>474</v>
      </c>
      <c r="V43" t="s">
        <v>483</v>
      </c>
      <c r="W43" t="s">
        <v>474</v>
      </c>
      <c r="X43" t="s">
        <v>454</v>
      </c>
      <c r="AA43" t="s">
        <v>556</v>
      </c>
      <c r="AB43" t="s">
        <v>570</v>
      </c>
      <c r="AC43" t="s">
        <v>558</v>
      </c>
      <c r="AD43" t="s">
        <v>559</v>
      </c>
    </row>
    <row r="44" spans="3:30" x14ac:dyDescent="0.2">
      <c r="H44" t="s">
        <v>255</v>
      </c>
      <c r="O44" t="s">
        <v>408</v>
      </c>
      <c r="P44" t="s">
        <v>427</v>
      </c>
      <c r="Q44" t="s">
        <v>408</v>
      </c>
      <c r="R44" t="s">
        <v>428</v>
      </c>
      <c r="T44" t="s">
        <v>223</v>
      </c>
      <c r="AA44" t="s">
        <v>556</v>
      </c>
      <c r="AB44" t="s">
        <v>571</v>
      </c>
      <c r="AC44" t="s">
        <v>558</v>
      </c>
      <c r="AD44" t="s">
        <v>572</v>
      </c>
    </row>
    <row r="45" spans="3:30" x14ac:dyDescent="0.2">
      <c r="C45" t="s">
        <v>207</v>
      </c>
      <c r="D45" t="s">
        <v>196</v>
      </c>
      <c r="E45" t="s">
        <v>207</v>
      </c>
      <c r="F45" t="s">
        <v>202</v>
      </c>
      <c r="I45" t="s">
        <v>320</v>
      </c>
      <c r="J45" t="s">
        <v>321</v>
      </c>
      <c r="K45" t="s">
        <v>322</v>
      </c>
      <c r="L45" t="b">
        <v>0</v>
      </c>
      <c r="N45" t="s">
        <v>223</v>
      </c>
      <c r="U45" t="s">
        <v>484</v>
      </c>
      <c r="V45" t="s">
        <v>485</v>
      </c>
      <c r="W45" t="s">
        <v>486</v>
      </c>
      <c r="X45" t="s">
        <v>487</v>
      </c>
      <c r="AA45" t="s">
        <v>556</v>
      </c>
      <c r="AB45" t="s">
        <v>573</v>
      </c>
      <c r="AC45" t="s">
        <v>558</v>
      </c>
      <c r="AD45" t="s">
        <v>574</v>
      </c>
    </row>
    <row r="46" spans="3:30" x14ac:dyDescent="0.2">
      <c r="C46" t="s">
        <v>207</v>
      </c>
      <c r="D46" t="s">
        <v>198</v>
      </c>
      <c r="E46" t="s">
        <v>207</v>
      </c>
      <c r="F46" t="s">
        <v>202</v>
      </c>
      <c r="I46" t="s">
        <v>320</v>
      </c>
      <c r="J46" t="s">
        <v>321</v>
      </c>
      <c r="K46" t="s">
        <v>323</v>
      </c>
      <c r="L46" t="b">
        <v>1</v>
      </c>
      <c r="O46" t="s">
        <v>429</v>
      </c>
      <c r="P46" t="s">
        <v>409</v>
      </c>
      <c r="Q46" t="s">
        <v>429</v>
      </c>
      <c r="R46" t="s">
        <v>385</v>
      </c>
      <c r="U46" t="s">
        <v>484</v>
      </c>
      <c r="V46" t="s">
        <v>488</v>
      </c>
      <c r="W46" t="s">
        <v>486</v>
      </c>
      <c r="X46" t="s">
        <v>54</v>
      </c>
      <c r="AA46" t="s">
        <v>556</v>
      </c>
      <c r="AB46" t="s">
        <v>575</v>
      </c>
      <c r="AC46" t="s">
        <v>558</v>
      </c>
      <c r="AD46" t="s">
        <v>54</v>
      </c>
    </row>
    <row r="47" spans="3:30" x14ac:dyDescent="0.2">
      <c r="C47" t="s">
        <v>207</v>
      </c>
      <c r="D47" t="s">
        <v>199</v>
      </c>
      <c r="E47" t="s">
        <v>207</v>
      </c>
      <c r="F47" t="s">
        <v>202</v>
      </c>
      <c r="I47" t="s">
        <v>320</v>
      </c>
      <c r="J47" t="s">
        <v>321</v>
      </c>
      <c r="K47" t="s">
        <v>324</v>
      </c>
      <c r="L47" t="b">
        <v>0</v>
      </c>
      <c r="O47" t="s">
        <v>429</v>
      </c>
      <c r="P47" t="s">
        <v>410</v>
      </c>
      <c r="Q47" t="s">
        <v>429</v>
      </c>
      <c r="R47" t="s">
        <v>387</v>
      </c>
      <c r="U47" t="s">
        <v>484</v>
      </c>
      <c r="V47" t="s">
        <v>489</v>
      </c>
      <c r="W47" t="s">
        <v>486</v>
      </c>
      <c r="X47" t="s">
        <v>54</v>
      </c>
      <c r="AA47" t="s">
        <v>556</v>
      </c>
      <c r="AB47" t="s">
        <v>576</v>
      </c>
      <c r="AC47" t="s">
        <v>558</v>
      </c>
      <c r="AD47" t="s">
        <v>54</v>
      </c>
    </row>
    <row r="48" spans="3:30" x14ac:dyDescent="0.2">
      <c r="C48" t="s">
        <v>207</v>
      </c>
      <c r="D48" t="s">
        <v>200</v>
      </c>
      <c r="E48" t="s">
        <v>207</v>
      </c>
      <c r="F48" t="s">
        <v>202</v>
      </c>
      <c r="I48" t="s">
        <v>320</v>
      </c>
      <c r="J48" t="s">
        <v>321</v>
      </c>
      <c r="K48" t="s">
        <v>325</v>
      </c>
      <c r="L48" t="b">
        <v>0</v>
      </c>
      <c r="O48" t="s">
        <v>429</v>
      </c>
      <c r="P48" t="s">
        <v>411</v>
      </c>
      <c r="Q48" t="s">
        <v>429</v>
      </c>
      <c r="R48" t="s">
        <v>387</v>
      </c>
      <c r="U48" t="s">
        <v>484</v>
      </c>
      <c r="V48" t="s">
        <v>490</v>
      </c>
      <c r="W48" t="s">
        <v>486</v>
      </c>
      <c r="X48" t="s">
        <v>491</v>
      </c>
      <c r="AA48" t="s">
        <v>556</v>
      </c>
      <c r="AB48" t="s">
        <v>577</v>
      </c>
      <c r="AC48" t="s">
        <v>558</v>
      </c>
      <c r="AD48" t="s">
        <v>54</v>
      </c>
    </row>
    <row r="49" spans="3:30" x14ac:dyDescent="0.2">
      <c r="C49" t="s">
        <v>207</v>
      </c>
      <c r="D49" t="s">
        <v>201</v>
      </c>
      <c r="E49" t="s">
        <v>207</v>
      </c>
      <c r="F49" t="s">
        <v>197</v>
      </c>
      <c r="I49" t="s">
        <v>320</v>
      </c>
      <c r="J49" t="s">
        <v>321</v>
      </c>
      <c r="K49" t="s">
        <v>326</v>
      </c>
      <c r="L49" t="b">
        <v>0</v>
      </c>
      <c r="O49" t="s">
        <v>429</v>
      </c>
      <c r="P49" t="s">
        <v>412</v>
      </c>
      <c r="Q49" t="s">
        <v>429</v>
      </c>
      <c r="R49" t="s">
        <v>413</v>
      </c>
      <c r="T49" t="s">
        <v>244</v>
      </c>
      <c r="AA49" t="s">
        <v>556</v>
      </c>
      <c r="AB49" t="s">
        <v>578</v>
      </c>
      <c r="AC49" t="s">
        <v>558</v>
      </c>
      <c r="AD49" t="s">
        <v>54</v>
      </c>
    </row>
    <row r="50" spans="3:30" x14ac:dyDescent="0.2">
      <c r="C50" t="s">
        <v>207</v>
      </c>
      <c r="D50" s="82" t="s">
        <v>771</v>
      </c>
      <c r="E50" t="s">
        <v>207</v>
      </c>
      <c r="F50" t="s">
        <v>202</v>
      </c>
      <c r="I50" t="s">
        <v>320</v>
      </c>
      <c r="J50" t="s">
        <v>321</v>
      </c>
      <c r="K50" t="s">
        <v>327</v>
      </c>
      <c r="L50" t="b">
        <v>0</v>
      </c>
      <c r="O50" t="s">
        <v>429</v>
      </c>
      <c r="P50" t="s">
        <v>414</v>
      </c>
      <c r="Q50" t="s">
        <v>429</v>
      </c>
      <c r="R50" t="s">
        <v>413</v>
      </c>
      <c r="U50" t="s">
        <v>492</v>
      </c>
      <c r="V50" t="s">
        <v>493</v>
      </c>
      <c r="W50" t="s">
        <v>494</v>
      </c>
      <c r="X50" t="s">
        <v>440</v>
      </c>
      <c r="AA50" t="s">
        <v>556</v>
      </c>
      <c r="AB50" t="s">
        <v>579</v>
      </c>
      <c r="AC50" t="s">
        <v>558</v>
      </c>
      <c r="AD50" t="s">
        <v>280</v>
      </c>
    </row>
    <row r="51" spans="3:30" x14ac:dyDescent="0.2">
      <c r="I51" t="s">
        <v>328</v>
      </c>
      <c r="J51" t="s">
        <v>321</v>
      </c>
      <c r="K51" t="s">
        <v>329</v>
      </c>
      <c r="L51" t="b">
        <v>0</v>
      </c>
      <c r="O51" t="s">
        <v>429</v>
      </c>
      <c r="P51" t="s">
        <v>415</v>
      </c>
      <c r="Q51" t="s">
        <v>429</v>
      </c>
      <c r="R51" t="s">
        <v>390</v>
      </c>
      <c r="U51" t="s">
        <v>492</v>
      </c>
      <c r="V51" t="s">
        <v>495</v>
      </c>
      <c r="W51" t="s">
        <v>494</v>
      </c>
      <c r="X51" t="s">
        <v>442</v>
      </c>
      <c r="AA51" t="s">
        <v>556</v>
      </c>
      <c r="AB51" t="s">
        <v>580</v>
      </c>
      <c r="AC51" t="s">
        <v>558</v>
      </c>
      <c r="AD51" t="s">
        <v>54</v>
      </c>
    </row>
    <row r="52" spans="3:30" x14ac:dyDescent="0.2">
      <c r="C52" t="s">
        <v>208</v>
      </c>
      <c r="D52" t="s">
        <v>196</v>
      </c>
      <c r="E52" t="s">
        <v>208</v>
      </c>
      <c r="F52" t="s">
        <v>202</v>
      </c>
      <c r="I52" t="s">
        <v>328</v>
      </c>
      <c r="J52" t="s">
        <v>321</v>
      </c>
      <c r="K52" t="s">
        <v>330</v>
      </c>
      <c r="L52" t="b">
        <v>0</v>
      </c>
      <c r="O52" t="s">
        <v>429</v>
      </c>
      <c r="P52" t="s">
        <v>416</v>
      </c>
      <c r="Q52" t="s">
        <v>429</v>
      </c>
      <c r="R52" t="s">
        <v>430</v>
      </c>
      <c r="T52" t="s">
        <v>255</v>
      </c>
      <c r="Z52" t="s">
        <v>255</v>
      </c>
    </row>
    <row r="53" spans="3:30" x14ac:dyDescent="0.2">
      <c r="C53" t="s">
        <v>208</v>
      </c>
      <c r="D53" t="s">
        <v>198</v>
      </c>
      <c r="E53" t="s">
        <v>208</v>
      </c>
      <c r="F53" t="s">
        <v>202</v>
      </c>
      <c r="I53" t="s">
        <v>328</v>
      </c>
      <c r="J53" t="s">
        <v>321</v>
      </c>
      <c r="K53" t="s">
        <v>331</v>
      </c>
      <c r="L53" t="b">
        <v>0</v>
      </c>
      <c r="O53" t="s">
        <v>429</v>
      </c>
      <c r="P53" t="s">
        <v>418</v>
      </c>
      <c r="Q53" t="s">
        <v>429</v>
      </c>
      <c r="R53" t="s">
        <v>431</v>
      </c>
      <c r="U53" t="s">
        <v>496</v>
      </c>
      <c r="V53" t="s">
        <v>497</v>
      </c>
      <c r="W53" t="s">
        <v>496</v>
      </c>
      <c r="X53" t="s">
        <v>498</v>
      </c>
      <c r="AA53" t="s">
        <v>581</v>
      </c>
      <c r="AB53" t="s">
        <v>582</v>
      </c>
      <c r="AC53" t="s">
        <v>581</v>
      </c>
      <c r="AD53">
        <v>2</v>
      </c>
    </row>
    <row r="54" spans="3:30" x14ac:dyDescent="0.2">
      <c r="C54" t="s">
        <v>208</v>
      </c>
      <c r="D54" t="s">
        <v>199</v>
      </c>
      <c r="E54" t="s">
        <v>208</v>
      </c>
      <c r="F54" t="s">
        <v>197</v>
      </c>
      <c r="I54" t="s">
        <v>328</v>
      </c>
      <c r="J54" t="s">
        <v>321</v>
      </c>
      <c r="K54" t="s">
        <v>332</v>
      </c>
      <c r="L54" t="b">
        <v>0</v>
      </c>
      <c r="O54" t="s">
        <v>429</v>
      </c>
      <c r="P54" t="s">
        <v>420</v>
      </c>
      <c r="Q54" t="s">
        <v>429</v>
      </c>
      <c r="R54" t="s">
        <v>421</v>
      </c>
      <c r="U54" t="s">
        <v>496</v>
      </c>
      <c r="V54" t="s">
        <v>499</v>
      </c>
      <c r="W54" t="s">
        <v>496</v>
      </c>
      <c r="X54">
        <v>0</v>
      </c>
      <c r="AA54" t="s">
        <v>583</v>
      </c>
      <c r="AB54" t="s">
        <v>582</v>
      </c>
      <c r="AC54" t="s">
        <v>583</v>
      </c>
      <c r="AD54">
        <v>2</v>
      </c>
    </row>
    <row r="55" spans="3:30" x14ac:dyDescent="0.2">
      <c r="C55" t="s">
        <v>208</v>
      </c>
      <c r="D55" t="s">
        <v>200</v>
      </c>
      <c r="E55" t="s">
        <v>208</v>
      </c>
      <c r="F55" t="s">
        <v>202</v>
      </c>
      <c r="I55" t="s">
        <v>328</v>
      </c>
      <c r="J55" t="s">
        <v>321</v>
      </c>
      <c r="K55" t="s">
        <v>333</v>
      </c>
      <c r="L55" t="b">
        <v>0</v>
      </c>
      <c r="O55" t="s">
        <v>429</v>
      </c>
      <c r="P55" t="s">
        <v>422</v>
      </c>
      <c r="Q55" t="s">
        <v>429</v>
      </c>
      <c r="R55" t="s">
        <v>432</v>
      </c>
      <c r="U55" t="s">
        <v>496</v>
      </c>
      <c r="V55" t="s">
        <v>500</v>
      </c>
      <c r="W55" t="s">
        <v>496</v>
      </c>
      <c r="X55" t="s">
        <v>501</v>
      </c>
      <c r="AA55" t="s">
        <v>584</v>
      </c>
      <c r="AB55" t="s">
        <v>582</v>
      </c>
      <c r="AC55" t="s">
        <v>584</v>
      </c>
      <c r="AD55">
        <v>2</v>
      </c>
    </row>
    <row r="56" spans="3:30" x14ac:dyDescent="0.2">
      <c r="C56" t="s">
        <v>208</v>
      </c>
      <c r="D56" t="s">
        <v>201</v>
      </c>
      <c r="E56" t="s">
        <v>208</v>
      </c>
      <c r="F56" t="s">
        <v>202</v>
      </c>
      <c r="I56" t="s">
        <v>328</v>
      </c>
      <c r="J56" t="s">
        <v>321</v>
      </c>
      <c r="K56" t="s">
        <v>334</v>
      </c>
      <c r="L56" t="b">
        <v>1</v>
      </c>
      <c r="O56" t="s">
        <v>429</v>
      </c>
      <c r="P56" t="s">
        <v>433</v>
      </c>
      <c r="Q56" t="s">
        <v>429</v>
      </c>
      <c r="R56" t="s">
        <v>434</v>
      </c>
      <c r="U56" t="s">
        <v>496</v>
      </c>
      <c r="V56" t="s">
        <v>502</v>
      </c>
      <c r="W56" t="s">
        <v>496</v>
      </c>
      <c r="X56" t="s">
        <v>280</v>
      </c>
      <c r="AA56" t="s">
        <v>581</v>
      </c>
      <c r="AB56" t="s">
        <v>585</v>
      </c>
      <c r="AC56" t="s">
        <v>581</v>
      </c>
      <c r="AD56">
        <v>-1</v>
      </c>
    </row>
    <row r="57" spans="3:30" x14ac:dyDescent="0.2">
      <c r="C57" t="s">
        <v>208</v>
      </c>
      <c r="D57" s="82" t="s">
        <v>771</v>
      </c>
      <c r="E57" t="s">
        <v>208</v>
      </c>
      <c r="F57" t="s">
        <v>202</v>
      </c>
      <c r="H57" t="s">
        <v>265</v>
      </c>
      <c r="O57" t="s">
        <v>429</v>
      </c>
      <c r="P57" t="s">
        <v>435</v>
      </c>
      <c r="Q57" t="s">
        <v>429</v>
      </c>
      <c r="R57" t="s">
        <v>405</v>
      </c>
      <c r="AA57" t="s">
        <v>586</v>
      </c>
      <c r="AB57" t="s">
        <v>582</v>
      </c>
      <c r="AC57" t="s">
        <v>586</v>
      </c>
      <c r="AD57">
        <v>235</v>
      </c>
    </row>
    <row r="58" spans="3:30" x14ac:dyDescent="0.2">
      <c r="I58" t="s">
        <v>335</v>
      </c>
      <c r="J58" t="s">
        <v>321</v>
      </c>
      <c r="K58" t="s">
        <v>336</v>
      </c>
      <c r="L58" t="b">
        <v>0</v>
      </c>
      <c r="O58" t="s">
        <v>429</v>
      </c>
      <c r="P58" t="s">
        <v>427</v>
      </c>
      <c r="Q58" t="s">
        <v>429</v>
      </c>
      <c r="R58" t="s">
        <v>436</v>
      </c>
      <c r="AA58" t="s">
        <v>586</v>
      </c>
      <c r="AB58" t="s">
        <v>585</v>
      </c>
      <c r="AC58" t="s">
        <v>586</v>
      </c>
      <c r="AD58">
        <v>-1345</v>
      </c>
    </row>
    <row r="59" spans="3:30" x14ac:dyDescent="0.2">
      <c r="C59" t="s">
        <v>209</v>
      </c>
      <c r="D59" t="s">
        <v>196</v>
      </c>
      <c r="E59" t="s">
        <v>209</v>
      </c>
      <c r="F59" t="s">
        <v>197</v>
      </c>
      <c r="I59" t="s">
        <v>335</v>
      </c>
      <c r="J59" t="s">
        <v>321</v>
      </c>
      <c r="K59" t="s">
        <v>337</v>
      </c>
      <c r="L59" t="b">
        <v>1</v>
      </c>
      <c r="N59" t="s">
        <v>244</v>
      </c>
      <c r="AA59" t="s">
        <v>586</v>
      </c>
      <c r="AB59" t="s">
        <v>587</v>
      </c>
      <c r="AC59" t="s">
        <v>586</v>
      </c>
      <c r="AD59">
        <v>100</v>
      </c>
    </row>
    <row r="60" spans="3:30" x14ac:dyDescent="0.2">
      <c r="C60" t="s">
        <v>209</v>
      </c>
      <c r="D60" t="s">
        <v>198</v>
      </c>
      <c r="E60" t="s">
        <v>209</v>
      </c>
      <c r="F60" t="s">
        <v>197</v>
      </c>
      <c r="I60" t="s">
        <v>335</v>
      </c>
      <c r="J60" t="s">
        <v>321</v>
      </c>
      <c r="K60" t="s">
        <v>338</v>
      </c>
      <c r="L60" t="b">
        <v>0</v>
      </c>
      <c r="O60" t="s">
        <v>437</v>
      </c>
      <c r="P60" t="s">
        <v>409</v>
      </c>
      <c r="Q60" t="s">
        <v>437</v>
      </c>
      <c r="R60" t="s">
        <v>385</v>
      </c>
      <c r="AA60" t="s">
        <v>588</v>
      </c>
      <c r="AB60" t="s">
        <v>582</v>
      </c>
      <c r="AC60" t="s">
        <v>588</v>
      </c>
      <c r="AD60">
        <v>35</v>
      </c>
    </row>
    <row r="61" spans="3:30" x14ac:dyDescent="0.2">
      <c r="C61" t="s">
        <v>209</v>
      </c>
      <c r="D61" t="s">
        <v>199</v>
      </c>
      <c r="E61" t="s">
        <v>209</v>
      </c>
      <c r="F61" t="s">
        <v>197</v>
      </c>
      <c r="I61" t="s">
        <v>335</v>
      </c>
      <c r="J61" t="s">
        <v>321</v>
      </c>
      <c r="K61" t="s">
        <v>339</v>
      </c>
      <c r="L61" t="b">
        <v>0</v>
      </c>
      <c r="O61" t="s">
        <v>437</v>
      </c>
      <c r="P61" t="s">
        <v>410</v>
      </c>
      <c r="Q61" t="s">
        <v>437</v>
      </c>
      <c r="R61" t="s">
        <v>387</v>
      </c>
      <c r="AA61" t="s">
        <v>588</v>
      </c>
      <c r="AB61" t="s">
        <v>589</v>
      </c>
      <c r="AC61" t="s">
        <v>588</v>
      </c>
      <c r="AD61">
        <v>-35</v>
      </c>
    </row>
    <row r="62" spans="3:30" x14ac:dyDescent="0.2">
      <c r="C62" t="s">
        <v>209</v>
      </c>
      <c r="D62" t="s">
        <v>200</v>
      </c>
      <c r="E62" t="s">
        <v>209</v>
      </c>
      <c r="F62" t="s">
        <v>197</v>
      </c>
      <c r="I62" t="s">
        <v>335</v>
      </c>
      <c r="J62" t="s">
        <v>321</v>
      </c>
      <c r="K62" t="s">
        <v>340</v>
      </c>
      <c r="L62" t="b">
        <v>0</v>
      </c>
      <c r="O62" t="s">
        <v>437</v>
      </c>
      <c r="P62" t="s">
        <v>411</v>
      </c>
      <c r="Q62" t="s">
        <v>437</v>
      </c>
      <c r="R62" t="s">
        <v>387</v>
      </c>
      <c r="AA62" t="s">
        <v>588</v>
      </c>
      <c r="AB62" t="s">
        <v>590</v>
      </c>
      <c r="AC62" t="s">
        <v>588</v>
      </c>
      <c r="AD62">
        <v>345</v>
      </c>
    </row>
    <row r="63" spans="3:30" x14ac:dyDescent="0.2">
      <c r="C63" t="s">
        <v>209</v>
      </c>
      <c r="D63" t="s">
        <v>201</v>
      </c>
      <c r="E63" t="s">
        <v>209</v>
      </c>
      <c r="F63" t="s">
        <v>202</v>
      </c>
      <c r="I63" t="s">
        <v>335</v>
      </c>
      <c r="J63" t="s">
        <v>321</v>
      </c>
      <c r="K63" t="s">
        <v>341</v>
      </c>
      <c r="L63" t="b">
        <v>0</v>
      </c>
      <c r="O63" t="s">
        <v>437</v>
      </c>
      <c r="P63" t="s">
        <v>412</v>
      </c>
      <c r="Q63" t="s">
        <v>437</v>
      </c>
      <c r="R63" t="s">
        <v>413</v>
      </c>
      <c r="AA63" t="s">
        <v>588</v>
      </c>
      <c r="AB63" t="s">
        <v>587</v>
      </c>
      <c r="AC63" t="s">
        <v>588</v>
      </c>
      <c r="AD63">
        <v>0</v>
      </c>
    </row>
    <row r="64" spans="3:30" x14ac:dyDescent="0.2">
      <c r="C64" t="s">
        <v>209</v>
      </c>
      <c r="D64" s="82" t="s">
        <v>771</v>
      </c>
      <c r="E64" t="s">
        <v>209</v>
      </c>
      <c r="F64" t="s">
        <v>202</v>
      </c>
      <c r="I64" t="s">
        <v>335</v>
      </c>
      <c r="J64" t="s">
        <v>321</v>
      </c>
      <c r="K64" t="s">
        <v>342</v>
      </c>
      <c r="L64" t="b">
        <v>0</v>
      </c>
      <c r="O64" t="s">
        <v>437</v>
      </c>
      <c r="P64" t="s">
        <v>414</v>
      </c>
      <c r="Q64" t="s">
        <v>437</v>
      </c>
      <c r="R64" t="s">
        <v>413</v>
      </c>
      <c r="Z64" t="s">
        <v>265</v>
      </c>
    </row>
    <row r="65" spans="2:30" x14ac:dyDescent="0.2">
      <c r="B65" t="s">
        <v>210</v>
      </c>
      <c r="I65" t="s">
        <v>335</v>
      </c>
      <c r="J65" t="s">
        <v>321</v>
      </c>
      <c r="K65" t="s">
        <v>343</v>
      </c>
      <c r="L65" t="b">
        <v>0</v>
      </c>
      <c r="O65" t="s">
        <v>437</v>
      </c>
      <c r="P65" t="s">
        <v>415</v>
      </c>
      <c r="Q65" t="s">
        <v>437</v>
      </c>
      <c r="R65" t="s">
        <v>390</v>
      </c>
      <c r="AA65" t="s">
        <v>591</v>
      </c>
      <c r="AB65" t="s">
        <v>592</v>
      </c>
      <c r="AC65" t="s">
        <v>591</v>
      </c>
      <c r="AD65" t="b">
        <v>1</v>
      </c>
    </row>
    <row r="66" spans="2:30" x14ac:dyDescent="0.2">
      <c r="C66" t="s">
        <v>211</v>
      </c>
      <c r="D66" t="s">
        <v>212</v>
      </c>
      <c r="E66" t="s">
        <v>211</v>
      </c>
      <c r="F66" t="s">
        <v>197</v>
      </c>
      <c r="I66" t="s">
        <v>344</v>
      </c>
      <c r="J66" t="s">
        <v>321</v>
      </c>
      <c r="K66" t="s">
        <v>345</v>
      </c>
      <c r="L66" t="b">
        <v>0</v>
      </c>
      <c r="O66" t="s">
        <v>437</v>
      </c>
      <c r="P66" t="s">
        <v>418</v>
      </c>
      <c r="Q66" t="s">
        <v>437</v>
      </c>
      <c r="R66" t="s">
        <v>421</v>
      </c>
      <c r="AA66" t="s">
        <v>591</v>
      </c>
      <c r="AB66" t="s">
        <v>593</v>
      </c>
      <c r="AC66" t="s">
        <v>591</v>
      </c>
      <c r="AD66" t="b">
        <v>0</v>
      </c>
    </row>
    <row r="67" spans="2:30" x14ac:dyDescent="0.2">
      <c r="C67" t="s">
        <v>211</v>
      </c>
      <c r="D67" t="s">
        <v>213</v>
      </c>
      <c r="E67" t="s">
        <v>211</v>
      </c>
      <c r="F67" t="s">
        <v>197</v>
      </c>
      <c r="I67" t="s">
        <v>344</v>
      </c>
      <c r="J67" t="s">
        <v>321</v>
      </c>
      <c r="K67" t="s">
        <v>346</v>
      </c>
      <c r="L67" t="b">
        <v>0</v>
      </c>
      <c r="O67" t="s">
        <v>437</v>
      </c>
      <c r="P67" t="s">
        <v>422</v>
      </c>
      <c r="Q67" t="s">
        <v>437</v>
      </c>
      <c r="R67" t="s">
        <v>423</v>
      </c>
      <c r="AA67" t="s">
        <v>591</v>
      </c>
      <c r="AB67" t="s">
        <v>594</v>
      </c>
      <c r="AC67" t="s">
        <v>591</v>
      </c>
      <c r="AD67" t="b">
        <v>0</v>
      </c>
    </row>
    <row r="68" spans="2:30" x14ac:dyDescent="0.2">
      <c r="C68" t="s">
        <v>211</v>
      </c>
      <c r="D68" t="s">
        <v>196</v>
      </c>
      <c r="E68" t="s">
        <v>211</v>
      </c>
      <c r="F68" t="s">
        <v>197</v>
      </c>
      <c r="I68" t="s">
        <v>344</v>
      </c>
      <c r="J68" t="s">
        <v>321</v>
      </c>
      <c r="K68" t="s">
        <v>347</v>
      </c>
      <c r="L68" t="b">
        <v>0</v>
      </c>
      <c r="O68" t="s">
        <v>437</v>
      </c>
      <c r="P68" t="s">
        <v>424</v>
      </c>
      <c r="Q68" t="s">
        <v>437</v>
      </c>
      <c r="R68" t="s">
        <v>425</v>
      </c>
      <c r="AA68" t="s">
        <v>595</v>
      </c>
      <c r="AB68" t="s">
        <v>593</v>
      </c>
      <c r="AC68" t="s">
        <v>595</v>
      </c>
      <c r="AD68" t="b">
        <v>1</v>
      </c>
    </row>
    <row r="69" spans="2:30" x14ac:dyDescent="0.2">
      <c r="C69" t="s">
        <v>211</v>
      </c>
      <c r="D69" t="s">
        <v>214</v>
      </c>
      <c r="E69" t="s">
        <v>211</v>
      </c>
      <c r="F69" t="s">
        <v>197</v>
      </c>
      <c r="I69" t="s">
        <v>344</v>
      </c>
      <c r="J69" t="s">
        <v>321</v>
      </c>
      <c r="K69" t="s">
        <v>348</v>
      </c>
      <c r="L69" t="b">
        <v>0</v>
      </c>
      <c r="O69" t="s">
        <v>437</v>
      </c>
      <c r="P69" t="s">
        <v>426</v>
      </c>
      <c r="Q69" t="s">
        <v>437</v>
      </c>
      <c r="R69" t="s">
        <v>398</v>
      </c>
      <c r="AA69" t="s">
        <v>595</v>
      </c>
      <c r="AB69" t="s">
        <v>592</v>
      </c>
      <c r="AC69" t="s">
        <v>595</v>
      </c>
      <c r="AD69" t="b">
        <v>0</v>
      </c>
    </row>
    <row r="70" spans="2:30" x14ac:dyDescent="0.2">
      <c r="C70" t="s">
        <v>211</v>
      </c>
      <c r="D70" t="s">
        <v>215</v>
      </c>
      <c r="E70" t="s">
        <v>211</v>
      </c>
      <c r="F70" t="s">
        <v>202</v>
      </c>
      <c r="I70" t="s">
        <v>344</v>
      </c>
      <c r="J70" t="s">
        <v>321</v>
      </c>
      <c r="K70" t="s">
        <v>349</v>
      </c>
      <c r="L70" t="b">
        <v>0</v>
      </c>
      <c r="O70" t="s">
        <v>437</v>
      </c>
      <c r="P70" t="s">
        <v>427</v>
      </c>
      <c r="Q70" t="s">
        <v>437</v>
      </c>
      <c r="R70" t="s">
        <v>428</v>
      </c>
      <c r="AA70" t="s">
        <v>595</v>
      </c>
      <c r="AB70" t="s">
        <v>596</v>
      </c>
      <c r="AC70" t="s">
        <v>595</v>
      </c>
      <c r="AD70" t="b">
        <v>0</v>
      </c>
    </row>
    <row r="71" spans="2:30" x14ac:dyDescent="0.2">
      <c r="C71" t="s">
        <v>211</v>
      </c>
      <c r="D71" t="s">
        <v>198</v>
      </c>
      <c r="E71" t="s">
        <v>211</v>
      </c>
      <c r="F71" t="s">
        <v>197</v>
      </c>
      <c r="I71" t="s">
        <v>344</v>
      </c>
      <c r="J71" t="s">
        <v>321</v>
      </c>
      <c r="K71" t="s">
        <v>350</v>
      </c>
      <c r="L71" t="b">
        <v>0</v>
      </c>
      <c r="AA71" t="s">
        <v>597</v>
      </c>
      <c r="AB71" t="s">
        <v>593</v>
      </c>
      <c r="AC71" t="s">
        <v>597</v>
      </c>
      <c r="AD71" t="b">
        <v>1</v>
      </c>
    </row>
    <row r="72" spans="2:30" x14ac:dyDescent="0.2">
      <c r="C72" t="s">
        <v>211</v>
      </c>
      <c r="D72" t="s">
        <v>216</v>
      </c>
      <c r="E72" t="s">
        <v>211</v>
      </c>
      <c r="F72" t="s">
        <v>197</v>
      </c>
      <c r="I72" t="s">
        <v>344</v>
      </c>
      <c r="J72" t="s">
        <v>321</v>
      </c>
      <c r="K72" t="s">
        <v>351</v>
      </c>
      <c r="L72" t="b">
        <v>1</v>
      </c>
      <c r="AA72" t="s">
        <v>597</v>
      </c>
      <c r="AB72" t="s">
        <v>592</v>
      </c>
      <c r="AC72" t="s">
        <v>597</v>
      </c>
      <c r="AD72" t="b">
        <v>1</v>
      </c>
    </row>
    <row r="73" spans="2:30" x14ac:dyDescent="0.2">
      <c r="C73" t="s">
        <v>211</v>
      </c>
      <c r="D73" t="s">
        <v>217</v>
      </c>
      <c r="E73" t="s">
        <v>211</v>
      </c>
      <c r="F73" t="s">
        <v>202</v>
      </c>
      <c r="I73" t="s">
        <v>344</v>
      </c>
      <c r="J73" t="s">
        <v>321</v>
      </c>
      <c r="K73" t="s">
        <v>352</v>
      </c>
      <c r="L73" t="b">
        <v>0</v>
      </c>
      <c r="AA73" t="s">
        <v>597</v>
      </c>
      <c r="AB73" t="s">
        <v>596</v>
      </c>
      <c r="AC73" t="s">
        <v>597</v>
      </c>
      <c r="AD73" t="b">
        <v>0</v>
      </c>
    </row>
    <row r="74" spans="2:30" x14ac:dyDescent="0.2">
      <c r="C74" t="s">
        <v>211</v>
      </c>
      <c r="D74" t="s">
        <v>218</v>
      </c>
      <c r="E74" t="s">
        <v>211</v>
      </c>
      <c r="F74" t="s">
        <v>202</v>
      </c>
      <c r="H74" t="s">
        <v>353</v>
      </c>
      <c r="AA74" t="s">
        <v>598</v>
      </c>
      <c r="AB74" t="s">
        <v>596</v>
      </c>
      <c r="AC74" t="s">
        <v>598</v>
      </c>
      <c r="AD74" t="b">
        <v>1</v>
      </c>
    </row>
    <row r="75" spans="2:30" x14ac:dyDescent="0.2">
      <c r="C75" t="s">
        <v>211</v>
      </c>
      <c r="D75" t="s">
        <v>200</v>
      </c>
      <c r="E75" t="s">
        <v>211</v>
      </c>
      <c r="F75" t="s">
        <v>202</v>
      </c>
      <c r="I75" t="s">
        <v>354</v>
      </c>
      <c r="J75" t="s">
        <v>321</v>
      </c>
      <c r="K75" t="s">
        <v>355</v>
      </c>
      <c r="L75" t="b">
        <v>0</v>
      </c>
      <c r="AA75" t="s">
        <v>598</v>
      </c>
      <c r="AB75" t="s">
        <v>592</v>
      </c>
      <c r="AC75" t="s">
        <v>598</v>
      </c>
      <c r="AD75" t="b">
        <v>0</v>
      </c>
    </row>
    <row r="76" spans="2:30" x14ac:dyDescent="0.2">
      <c r="C76" t="s">
        <v>211</v>
      </c>
      <c r="D76" t="s">
        <v>201</v>
      </c>
      <c r="E76" t="s">
        <v>211</v>
      </c>
      <c r="F76" t="s">
        <v>202</v>
      </c>
      <c r="I76" t="s">
        <v>354</v>
      </c>
      <c r="J76" t="s">
        <v>321</v>
      </c>
      <c r="K76" t="s">
        <v>356</v>
      </c>
      <c r="L76" t="b">
        <v>0</v>
      </c>
      <c r="AA76" t="s">
        <v>598</v>
      </c>
      <c r="AB76" t="s">
        <v>599</v>
      </c>
      <c r="AC76" t="s">
        <v>598</v>
      </c>
      <c r="AD76" t="b">
        <v>0</v>
      </c>
    </row>
    <row r="77" spans="2:30" x14ac:dyDescent="0.2">
      <c r="C77" t="s">
        <v>211</v>
      </c>
      <c r="D77" s="82" t="s">
        <v>771</v>
      </c>
      <c r="E77" t="s">
        <v>211</v>
      </c>
      <c r="F77" t="s">
        <v>202</v>
      </c>
      <c r="I77" t="s">
        <v>354</v>
      </c>
      <c r="J77" t="s">
        <v>321</v>
      </c>
      <c r="K77" t="s">
        <v>357</v>
      </c>
      <c r="L77" t="b">
        <v>1</v>
      </c>
      <c r="AA77" t="s">
        <v>600</v>
      </c>
      <c r="AB77" t="s">
        <v>596</v>
      </c>
      <c r="AC77" t="s">
        <v>600</v>
      </c>
      <c r="AD77" t="b">
        <v>1</v>
      </c>
    </row>
    <row r="78" spans="2:30" x14ac:dyDescent="0.2">
      <c r="B78" t="s">
        <v>219</v>
      </c>
      <c r="I78" t="s">
        <v>354</v>
      </c>
      <c r="J78" t="s">
        <v>321</v>
      </c>
      <c r="K78" t="s">
        <v>358</v>
      </c>
      <c r="L78" t="b">
        <v>0</v>
      </c>
      <c r="AA78" t="s">
        <v>600</v>
      </c>
      <c r="AB78" t="s">
        <v>592</v>
      </c>
      <c r="AC78" t="s">
        <v>600</v>
      </c>
      <c r="AD78" t="b">
        <v>1</v>
      </c>
    </row>
    <row r="79" spans="2:30" x14ac:dyDescent="0.2">
      <c r="C79" t="s">
        <v>220</v>
      </c>
      <c r="D79" t="s">
        <v>212</v>
      </c>
      <c r="E79" t="s">
        <v>220</v>
      </c>
      <c r="F79" t="s">
        <v>197</v>
      </c>
      <c r="I79" t="s">
        <v>354</v>
      </c>
      <c r="J79" t="s">
        <v>321</v>
      </c>
      <c r="K79" t="s">
        <v>359</v>
      </c>
      <c r="L79" t="b">
        <v>0</v>
      </c>
      <c r="AA79" t="s">
        <v>600</v>
      </c>
      <c r="AB79" t="s">
        <v>599</v>
      </c>
      <c r="AC79" t="s">
        <v>600</v>
      </c>
      <c r="AD79" t="b">
        <v>0</v>
      </c>
    </row>
    <row r="80" spans="2:30" x14ac:dyDescent="0.2">
      <c r="C80" t="s">
        <v>220</v>
      </c>
      <c r="D80" t="s">
        <v>221</v>
      </c>
      <c r="E80" t="s">
        <v>220</v>
      </c>
      <c r="F80" t="s">
        <v>197</v>
      </c>
      <c r="I80" t="s">
        <v>354</v>
      </c>
      <c r="J80" t="s">
        <v>321</v>
      </c>
      <c r="K80" t="s">
        <v>360</v>
      </c>
      <c r="L80" t="b">
        <v>0</v>
      </c>
      <c r="Z80" t="s">
        <v>353</v>
      </c>
    </row>
    <row r="81" spans="2:30" x14ac:dyDescent="0.2">
      <c r="C81" t="s">
        <v>220</v>
      </c>
      <c r="D81" t="s">
        <v>222</v>
      </c>
      <c r="E81" t="s">
        <v>220</v>
      </c>
      <c r="F81" t="s">
        <v>202</v>
      </c>
      <c r="I81" t="s">
        <v>361</v>
      </c>
      <c r="J81" t="s">
        <v>321</v>
      </c>
      <c r="K81" t="s">
        <v>362</v>
      </c>
      <c r="L81" t="b">
        <v>0</v>
      </c>
      <c r="AA81" t="s">
        <v>601</v>
      </c>
      <c r="AB81" t="s">
        <v>602</v>
      </c>
      <c r="AC81" t="s">
        <v>603</v>
      </c>
      <c r="AD81" t="s">
        <v>604</v>
      </c>
    </row>
    <row r="82" spans="2:30" x14ac:dyDescent="0.2">
      <c r="C82" t="s">
        <v>220</v>
      </c>
      <c r="D82" t="s">
        <v>213</v>
      </c>
      <c r="E82" t="s">
        <v>220</v>
      </c>
      <c r="F82" t="s">
        <v>202</v>
      </c>
      <c r="I82" t="s">
        <v>361</v>
      </c>
      <c r="J82" t="s">
        <v>321</v>
      </c>
      <c r="K82" t="s">
        <v>363</v>
      </c>
      <c r="L82" t="b">
        <v>0</v>
      </c>
      <c r="AA82" t="s">
        <v>601</v>
      </c>
      <c r="AB82" t="s">
        <v>602</v>
      </c>
      <c r="AC82" t="s">
        <v>605</v>
      </c>
      <c r="AD82" t="s">
        <v>604</v>
      </c>
    </row>
    <row r="83" spans="2:30" x14ac:dyDescent="0.2">
      <c r="C83" t="s">
        <v>220</v>
      </c>
      <c r="D83" t="s">
        <v>196</v>
      </c>
      <c r="E83" t="s">
        <v>220</v>
      </c>
      <c r="F83" t="s">
        <v>202</v>
      </c>
      <c r="I83" t="s">
        <v>361</v>
      </c>
      <c r="J83" t="s">
        <v>321</v>
      </c>
      <c r="K83" t="s">
        <v>364</v>
      </c>
      <c r="L83" t="b">
        <v>0</v>
      </c>
      <c r="AA83" t="s">
        <v>601</v>
      </c>
      <c r="AB83" t="s">
        <v>606</v>
      </c>
      <c r="AC83" t="s">
        <v>607</v>
      </c>
      <c r="AD83" t="s">
        <v>608</v>
      </c>
    </row>
    <row r="84" spans="2:30" x14ac:dyDescent="0.2">
      <c r="B84" t="s">
        <v>223</v>
      </c>
      <c r="I84" t="s">
        <v>361</v>
      </c>
      <c r="J84" t="s">
        <v>321</v>
      </c>
      <c r="K84" t="s">
        <v>365</v>
      </c>
      <c r="L84" t="b">
        <v>0</v>
      </c>
      <c r="AA84" t="s">
        <v>601</v>
      </c>
      <c r="AB84" t="s">
        <v>609</v>
      </c>
      <c r="AC84" t="s">
        <v>610</v>
      </c>
      <c r="AD84" t="s">
        <v>511</v>
      </c>
    </row>
    <row r="85" spans="2:30" x14ac:dyDescent="0.2">
      <c r="C85" t="s">
        <v>772</v>
      </c>
      <c r="D85" t="s">
        <v>225</v>
      </c>
      <c r="E85" t="s">
        <v>224</v>
      </c>
      <c r="F85" t="s">
        <v>226</v>
      </c>
      <c r="I85" t="s">
        <v>361</v>
      </c>
      <c r="J85" t="s">
        <v>321</v>
      </c>
      <c r="K85" t="s">
        <v>366</v>
      </c>
      <c r="L85" t="b">
        <v>1</v>
      </c>
      <c r="AA85" t="s">
        <v>601</v>
      </c>
      <c r="AB85" t="s">
        <v>609</v>
      </c>
      <c r="AC85" t="s">
        <v>611</v>
      </c>
      <c r="AD85" t="s">
        <v>612</v>
      </c>
    </row>
    <row r="86" spans="2:30" x14ac:dyDescent="0.2">
      <c r="C86" t="s">
        <v>772</v>
      </c>
      <c r="D86" t="s">
        <v>227</v>
      </c>
      <c r="E86" t="s">
        <v>224</v>
      </c>
      <c r="F86" t="s">
        <v>228</v>
      </c>
      <c r="I86" t="s">
        <v>361</v>
      </c>
      <c r="J86" t="s">
        <v>321</v>
      </c>
      <c r="K86" t="s">
        <v>367</v>
      </c>
      <c r="L86" t="b">
        <v>0</v>
      </c>
      <c r="AA86" t="s">
        <v>601</v>
      </c>
      <c r="AB86" t="s">
        <v>613</v>
      </c>
      <c r="AC86" t="s">
        <v>610</v>
      </c>
      <c r="AD86" t="s">
        <v>511</v>
      </c>
    </row>
    <row r="87" spans="2:30" x14ac:dyDescent="0.2">
      <c r="C87" t="s">
        <v>772</v>
      </c>
      <c r="D87" t="s">
        <v>229</v>
      </c>
      <c r="E87" t="s">
        <v>224</v>
      </c>
      <c r="F87" t="s">
        <v>230</v>
      </c>
      <c r="AA87" t="s">
        <v>601</v>
      </c>
      <c r="AB87" t="s">
        <v>613</v>
      </c>
      <c r="AC87" t="s">
        <v>614</v>
      </c>
      <c r="AD87" t="s">
        <v>615</v>
      </c>
    </row>
    <row r="88" spans="2:30" x14ac:dyDescent="0.2">
      <c r="C88" t="s">
        <v>772</v>
      </c>
      <c r="D88" t="s">
        <v>231</v>
      </c>
      <c r="E88" t="s">
        <v>224</v>
      </c>
      <c r="F88" t="s">
        <v>228</v>
      </c>
      <c r="I88" t="s">
        <v>369</v>
      </c>
      <c r="J88" t="s">
        <v>321</v>
      </c>
      <c r="K88" t="s">
        <v>370</v>
      </c>
      <c r="L88" t="b">
        <v>0</v>
      </c>
      <c r="AA88" t="s">
        <v>601</v>
      </c>
      <c r="AB88" t="s">
        <v>613</v>
      </c>
      <c r="AC88" t="s">
        <v>616</v>
      </c>
      <c r="AD88" t="s">
        <v>612</v>
      </c>
    </row>
    <row r="89" spans="2:30" x14ac:dyDescent="0.2">
      <c r="C89" t="s">
        <v>772</v>
      </c>
      <c r="D89" t="s">
        <v>232</v>
      </c>
      <c r="E89" t="s">
        <v>224</v>
      </c>
      <c r="F89" t="s">
        <v>230</v>
      </c>
      <c r="I89" t="s">
        <v>369</v>
      </c>
      <c r="J89" t="s">
        <v>321</v>
      </c>
      <c r="K89" t="s">
        <v>371</v>
      </c>
      <c r="L89" t="b">
        <v>1</v>
      </c>
      <c r="Z89" t="s">
        <v>368</v>
      </c>
    </row>
    <row r="90" spans="2:30" x14ac:dyDescent="0.2">
      <c r="C90" t="s">
        <v>772</v>
      </c>
      <c r="D90" t="s">
        <v>233</v>
      </c>
      <c r="E90" t="s">
        <v>224</v>
      </c>
      <c r="F90" t="s">
        <v>230</v>
      </c>
      <c r="I90" t="s">
        <v>369</v>
      </c>
      <c r="J90" t="s">
        <v>321</v>
      </c>
      <c r="K90" t="s">
        <v>372</v>
      </c>
      <c r="L90" t="b">
        <v>0</v>
      </c>
      <c r="AA90" t="s">
        <v>617</v>
      </c>
      <c r="AB90" t="s">
        <v>508</v>
      </c>
      <c r="AC90" t="s">
        <v>618</v>
      </c>
      <c r="AD90" t="s">
        <v>619</v>
      </c>
    </row>
    <row r="91" spans="2:30" x14ac:dyDescent="0.2">
      <c r="C91" t="s">
        <v>772</v>
      </c>
      <c r="D91" t="s">
        <v>234</v>
      </c>
      <c r="E91" t="s">
        <v>224</v>
      </c>
      <c r="F91" t="s">
        <v>235</v>
      </c>
      <c r="I91" t="s">
        <v>369</v>
      </c>
      <c r="J91" t="s">
        <v>321</v>
      </c>
      <c r="K91" t="s">
        <v>373</v>
      </c>
      <c r="L91" t="b">
        <v>0</v>
      </c>
      <c r="AA91" t="s">
        <v>617</v>
      </c>
      <c r="AB91" t="s">
        <v>513</v>
      </c>
      <c r="AC91" t="s">
        <v>620</v>
      </c>
      <c r="AD91" t="s">
        <v>621</v>
      </c>
    </row>
    <row r="92" spans="2:30" x14ac:dyDescent="0.2">
      <c r="C92" t="s">
        <v>772</v>
      </c>
      <c r="D92" t="s">
        <v>236</v>
      </c>
      <c r="E92" t="s">
        <v>224</v>
      </c>
      <c r="F92" t="s">
        <v>237</v>
      </c>
      <c r="I92" t="s">
        <v>369</v>
      </c>
      <c r="J92" t="s">
        <v>321</v>
      </c>
      <c r="K92" t="s">
        <v>374</v>
      </c>
      <c r="L92" t="b">
        <v>1</v>
      </c>
      <c r="AA92" t="s">
        <v>617</v>
      </c>
      <c r="AB92" t="s">
        <v>508</v>
      </c>
      <c r="AC92" t="s">
        <v>622</v>
      </c>
      <c r="AD92" t="s">
        <v>511</v>
      </c>
    </row>
    <row r="93" spans="2:30" x14ac:dyDescent="0.2">
      <c r="C93" t="s">
        <v>772</v>
      </c>
      <c r="D93" t="s">
        <v>238</v>
      </c>
      <c r="E93" t="s">
        <v>224</v>
      </c>
      <c r="F93" t="s">
        <v>239</v>
      </c>
      <c r="I93" t="s">
        <v>369</v>
      </c>
      <c r="J93" t="s">
        <v>321</v>
      </c>
      <c r="K93" t="s">
        <v>375</v>
      </c>
      <c r="L93" t="b">
        <v>1</v>
      </c>
      <c r="AA93" t="s">
        <v>617</v>
      </c>
      <c r="AB93" t="s">
        <v>508</v>
      </c>
      <c r="AC93" t="s">
        <v>623</v>
      </c>
      <c r="AD93" t="s">
        <v>624</v>
      </c>
    </row>
    <row r="94" spans="2:30" x14ac:dyDescent="0.2">
      <c r="C94" t="s">
        <v>772</v>
      </c>
      <c r="D94" t="s">
        <v>240</v>
      </c>
      <c r="E94" t="s">
        <v>224</v>
      </c>
      <c r="F94" t="s">
        <v>226</v>
      </c>
      <c r="I94" t="s">
        <v>369</v>
      </c>
      <c r="J94" t="s">
        <v>321</v>
      </c>
      <c r="K94" t="s">
        <v>376</v>
      </c>
      <c r="L94" t="b">
        <v>1</v>
      </c>
      <c r="AA94" t="s">
        <v>617</v>
      </c>
      <c r="AB94" t="s">
        <v>508</v>
      </c>
      <c r="AC94" t="s">
        <v>625</v>
      </c>
      <c r="AD94" t="s">
        <v>626</v>
      </c>
    </row>
    <row r="95" spans="2:30" x14ac:dyDescent="0.2">
      <c r="C95" t="s">
        <v>772</v>
      </c>
      <c r="D95" t="s">
        <v>241</v>
      </c>
      <c r="E95" t="s">
        <v>224</v>
      </c>
      <c r="F95" t="s">
        <v>226</v>
      </c>
      <c r="I95" t="s">
        <v>369</v>
      </c>
      <c r="J95" t="s">
        <v>321</v>
      </c>
      <c r="K95" t="s">
        <v>377</v>
      </c>
      <c r="L95" t="b">
        <v>1</v>
      </c>
      <c r="AA95" t="s">
        <v>617</v>
      </c>
      <c r="AB95" t="s">
        <v>513</v>
      </c>
      <c r="AC95" t="s">
        <v>627</v>
      </c>
      <c r="AD95" t="s">
        <v>628</v>
      </c>
    </row>
    <row r="96" spans="2:30" x14ac:dyDescent="0.2">
      <c r="C96" t="s">
        <v>772</v>
      </c>
      <c r="D96" t="s">
        <v>242</v>
      </c>
      <c r="E96" t="s">
        <v>224</v>
      </c>
      <c r="F96" t="s">
        <v>230</v>
      </c>
      <c r="I96" t="s">
        <v>369</v>
      </c>
      <c r="J96" t="s">
        <v>321</v>
      </c>
      <c r="K96" t="s">
        <v>378</v>
      </c>
      <c r="L96" t="b">
        <v>1</v>
      </c>
      <c r="Z96" t="s">
        <v>629</v>
      </c>
    </row>
    <row r="97" spans="2:30" x14ac:dyDescent="0.2">
      <c r="C97" t="s">
        <v>772</v>
      </c>
      <c r="D97" t="s">
        <v>243</v>
      </c>
      <c r="E97" t="s">
        <v>224</v>
      </c>
      <c r="F97" t="s">
        <v>235</v>
      </c>
      <c r="I97" t="s">
        <v>369</v>
      </c>
      <c r="J97" t="s">
        <v>321</v>
      </c>
      <c r="K97" t="s">
        <v>379</v>
      </c>
      <c r="L97" t="b">
        <v>1</v>
      </c>
      <c r="AA97" t="s">
        <v>630</v>
      </c>
      <c r="AB97" t="s">
        <v>631</v>
      </c>
      <c r="AC97" t="s">
        <v>632</v>
      </c>
      <c r="AD97" t="s">
        <v>633</v>
      </c>
    </row>
    <row r="98" spans="2:30" x14ac:dyDescent="0.2">
      <c r="B98" t="s">
        <v>244</v>
      </c>
      <c r="I98" t="s">
        <v>369</v>
      </c>
      <c r="J98" t="s">
        <v>321</v>
      </c>
      <c r="K98" t="s">
        <v>380</v>
      </c>
      <c r="L98" t="b">
        <v>1</v>
      </c>
      <c r="AA98" t="s">
        <v>630</v>
      </c>
      <c r="AB98" t="s">
        <v>631</v>
      </c>
      <c r="AC98" t="s">
        <v>634</v>
      </c>
      <c r="AD98" t="s">
        <v>635</v>
      </c>
    </row>
    <row r="99" spans="2:30" x14ac:dyDescent="0.2">
      <c r="C99" t="s">
        <v>773</v>
      </c>
      <c r="D99" t="s">
        <v>246</v>
      </c>
      <c r="E99" t="s">
        <v>245</v>
      </c>
      <c r="F99" t="s">
        <v>247</v>
      </c>
      <c r="I99" t="s">
        <v>369</v>
      </c>
      <c r="J99" t="s">
        <v>321</v>
      </c>
      <c r="K99" t="s">
        <v>381</v>
      </c>
      <c r="L99" t="b">
        <v>0</v>
      </c>
      <c r="AA99" t="s">
        <v>630</v>
      </c>
      <c r="AB99" t="s">
        <v>631</v>
      </c>
      <c r="AC99" t="s">
        <v>636</v>
      </c>
      <c r="AD99" t="s">
        <v>637</v>
      </c>
    </row>
    <row r="100" spans="2:30" x14ac:dyDescent="0.2">
      <c r="C100" t="s">
        <v>773</v>
      </c>
      <c r="D100" t="s">
        <v>248</v>
      </c>
      <c r="E100" t="s">
        <v>245</v>
      </c>
      <c r="F100" t="s">
        <v>239</v>
      </c>
      <c r="I100" t="s">
        <v>369</v>
      </c>
      <c r="J100" t="s">
        <v>321</v>
      </c>
      <c r="K100" t="s">
        <v>382</v>
      </c>
      <c r="L100" t="b">
        <v>1</v>
      </c>
      <c r="AA100" t="s">
        <v>630</v>
      </c>
      <c r="AB100" t="s">
        <v>631</v>
      </c>
      <c r="AC100" t="s">
        <v>638</v>
      </c>
      <c r="AD100" t="s">
        <v>511</v>
      </c>
    </row>
    <row r="101" spans="2:30" x14ac:dyDescent="0.2">
      <c r="C101" t="s">
        <v>773</v>
      </c>
      <c r="D101" t="s">
        <v>249</v>
      </c>
      <c r="E101" t="s">
        <v>245</v>
      </c>
      <c r="F101" t="s">
        <v>247</v>
      </c>
      <c r="AA101" t="s">
        <v>630</v>
      </c>
      <c r="AB101" t="s">
        <v>631</v>
      </c>
      <c r="AC101" t="s">
        <v>639</v>
      </c>
      <c r="AD101" t="s">
        <v>640</v>
      </c>
    </row>
    <row r="102" spans="2:30" x14ac:dyDescent="0.2">
      <c r="C102" t="s">
        <v>773</v>
      </c>
      <c r="D102" t="s">
        <v>250</v>
      </c>
      <c r="E102" t="s">
        <v>245</v>
      </c>
      <c r="F102" t="s">
        <v>191</v>
      </c>
      <c r="AA102" t="s">
        <v>630</v>
      </c>
      <c r="AB102" t="s">
        <v>631</v>
      </c>
      <c r="AC102" t="s">
        <v>641</v>
      </c>
      <c r="AD102" t="s">
        <v>642</v>
      </c>
    </row>
    <row r="103" spans="2:30" x14ac:dyDescent="0.2">
      <c r="C103" t="s">
        <v>773</v>
      </c>
      <c r="D103" t="s">
        <v>251</v>
      </c>
      <c r="E103" t="s">
        <v>245</v>
      </c>
      <c r="F103" t="s">
        <v>247</v>
      </c>
      <c r="AA103" t="s">
        <v>630</v>
      </c>
      <c r="AB103" t="s">
        <v>631</v>
      </c>
      <c r="AC103" t="s">
        <v>643</v>
      </c>
      <c r="AD103" t="s">
        <v>554</v>
      </c>
    </row>
    <row r="104" spans="2:30" x14ac:dyDescent="0.2">
      <c r="C104" t="s">
        <v>773</v>
      </c>
      <c r="D104" t="s">
        <v>236</v>
      </c>
      <c r="E104" t="s">
        <v>245</v>
      </c>
      <c r="F104" t="s">
        <v>237</v>
      </c>
      <c r="AA104" t="s">
        <v>644</v>
      </c>
      <c r="AB104" t="s">
        <v>631</v>
      </c>
      <c r="AC104" t="s">
        <v>645</v>
      </c>
      <c r="AD104" t="s">
        <v>646</v>
      </c>
    </row>
    <row r="105" spans="2:30" x14ac:dyDescent="0.2">
      <c r="C105" t="s">
        <v>773</v>
      </c>
      <c r="D105" t="s">
        <v>232</v>
      </c>
      <c r="E105" t="s">
        <v>245</v>
      </c>
      <c r="F105" t="s">
        <v>239</v>
      </c>
      <c r="AA105" t="s">
        <v>644</v>
      </c>
      <c r="AB105" t="s">
        <v>631</v>
      </c>
      <c r="AC105" t="s">
        <v>647</v>
      </c>
      <c r="AD105" t="s">
        <v>648</v>
      </c>
    </row>
    <row r="106" spans="2:30" x14ac:dyDescent="0.2">
      <c r="C106" t="s">
        <v>773</v>
      </c>
      <c r="D106" t="s">
        <v>252</v>
      </c>
      <c r="E106" t="s">
        <v>245</v>
      </c>
      <c r="F106" t="s">
        <v>191</v>
      </c>
      <c r="AA106" t="s">
        <v>644</v>
      </c>
      <c r="AB106" t="s">
        <v>631</v>
      </c>
      <c r="AC106" t="s">
        <v>649</v>
      </c>
      <c r="AD106" t="s">
        <v>554</v>
      </c>
    </row>
    <row r="107" spans="2:30" x14ac:dyDescent="0.2">
      <c r="C107" t="s">
        <v>773</v>
      </c>
      <c r="D107" t="s">
        <v>253</v>
      </c>
      <c r="E107" t="s">
        <v>245</v>
      </c>
      <c r="F107" t="s">
        <v>247</v>
      </c>
      <c r="AA107" t="s">
        <v>644</v>
      </c>
      <c r="AB107" t="s">
        <v>631</v>
      </c>
      <c r="AC107" t="s">
        <v>650</v>
      </c>
      <c r="AD107" t="s">
        <v>651</v>
      </c>
    </row>
    <row r="108" spans="2:30" x14ac:dyDescent="0.2">
      <c r="C108" t="s">
        <v>773</v>
      </c>
      <c r="D108" t="s">
        <v>254</v>
      </c>
      <c r="E108" t="s">
        <v>245</v>
      </c>
      <c r="F108" t="s">
        <v>191</v>
      </c>
      <c r="AA108" t="s">
        <v>644</v>
      </c>
      <c r="AB108" t="s">
        <v>631</v>
      </c>
      <c r="AC108" t="s">
        <v>652</v>
      </c>
      <c r="AD108" t="s">
        <v>637</v>
      </c>
    </row>
    <row r="109" spans="2:30" x14ac:dyDescent="0.2">
      <c r="B109" t="s">
        <v>255</v>
      </c>
      <c r="AA109" t="s">
        <v>644</v>
      </c>
      <c r="AB109" t="s">
        <v>631</v>
      </c>
      <c r="AC109" t="s">
        <v>653</v>
      </c>
      <c r="AD109" t="s">
        <v>654</v>
      </c>
    </row>
    <row r="110" spans="2:30" x14ac:dyDescent="0.2">
      <c r="C110" t="s">
        <v>256</v>
      </c>
      <c r="D110" t="s">
        <v>257</v>
      </c>
      <c r="E110" t="s">
        <v>256</v>
      </c>
      <c r="F110" t="s">
        <v>258</v>
      </c>
      <c r="AA110" t="s">
        <v>644</v>
      </c>
      <c r="AB110" t="s">
        <v>631</v>
      </c>
      <c r="AC110" t="s">
        <v>655</v>
      </c>
      <c r="AD110" t="s">
        <v>511</v>
      </c>
    </row>
    <row r="111" spans="2:30" x14ac:dyDescent="0.2">
      <c r="C111" t="s">
        <v>256</v>
      </c>
      <c r="D111" t="s">
        <v>259</v>
      </c>
      <c r="E111" t="s">
        <v>256</v>
      </c>
      <c r="F111" t="s">
        <v>260</v>
      </c>
      <c r="AA111" t="s">
        <v>656</v>
      </c>
      <c r="AB111" t="s">
        <v>657</v>
      </c>
      <c r="AC111" t="s">
        <v>658</v>
      </c>
      <c r="AD111" t="s">
        <v>633</v>
      </c>
    </row>
    <row r="112" spans="2:30" x14ac:dyDescent="0.2">
      <c r="C112" t="s">
        <v>256</v>
      </c>
      <c r="D112" t="s">
        <v>261</v>
      </c>
      <c r="E112" t="s">
        <v>256</v>
      </c>
      <c r="F112" t="s">
        <v>262</v>
      </c>
      <c r="AA112" t="s">
        <v>659</v>
      </c>
      <c r="AB112" t="s">
        <v>657</v>
      </c>
      <c r="AC112" t="s">
        <v>660</v>
      </c>
      <c r="AD112" t="s">
        <v>661</v>
      </c>
    </row>
    <row r="113" spans="2:30" x14ac:dyDescent="0.2">
      <c r="C113" t="s">
        <v>256</v>
      </c>
      <c r="D113" t="s">
        <v>263</v>
      </c>
      <c r="E113" t="s">
        <v>256</v>
      </c>
      <c r="F113" t="s">
        <v>258</v>
      </c>
      <c r="AA113" t="s">
        <v>662</v>
      </c>
      <c r="AB113" t="s">
        <v>657</v>
      </c>
      <c r="AC113" t="s">
        <v>663</v>
      </c>
      <c r="AD113" t="s">
        <v>664</v>
      </c>
    </row>
    <row r="114" spans="2:30" x14ac:dyDescent="0.2">
      <c r="C114" t="s">
        <v>256</v>
      </c>
      <c r="D114" t="s">
        <v>264</v>
      </c>
      <c r="E114" t="s">
        <v>256</v>
      </c>
      <c r="F114" t="s">
        <v>260</v>
      </c>
      <c r="AA114" t="s">
        <v>665</v>
      </c>
      <c r="AB114" t="s">
        <v>657</v>
      </c>
      <c r="AC114" t="s">
        <v>666</v>
      </c>
      <c r="AD114" t="s">
        <v>667</v>
      </c>
    </row>
    <row r="115" spans="2:30" x14ac:dyDescent="0.2">
      <c r="B115" t="s">
        <v>265</v>
      </c>
      <c r="Z115" t="s">
        <v>668</v>
      </c>
    </row>
    <row r="116" spans="2:30" x14ac:dyDescent="0.2">
      <c r="C116" t="s">
        <v>266</v>
      </c>
      <c r="D116" t="s">
        <v>257</v>
      </c>
      <c r="E116" t="s">
        <v>266</v>
      </c>
      <c r="F116" t="s">
        <v>267</v>
      </c>
      <c r="AA116" t="s">
        <v>669</v>
      </c>
      <c r="AB116" t="s">
        <v>631</v>
      </c>
      <c r="AC116" t="s">
        <v>670</v>
      </c>
      <c r="AD116" t="s">
        <v>671</v>
      </c>
    </row>
    <row r="117" spans="2:30" x14ac:dyDescent="0.2">
      <c r="C117" t="s">
        <v>266</v>
      </c>
      <c r="D117" t="s">
        <v>259</v>
      </c>
      <c r="E117" t="s">
        <v>266</v>
      </c>
      <c r="F117" t="s">
        <v>268</v>
      </c>
      <c r="AA117" t="s">
        <v>669</v>
      </c>
      <c r="AB117" t="s">
        <v>672</v>
      </c>
      <c r="AC117" t="s">
        <v>670</v>
      </c>
      <c r="AD117" t="s">
        <v>673</v>
      </c>
    </row>
    <row r="118" spans="2:30" x14ac:dyDescent="0.2">
      <c r="C118" t="s">
        <v>266</v>
      </c>
      <c r="D118" t="s">
        <v>261</v>
      </c>
      <c r="E118" t="s">
        <v>266</v>
      </c>
      <c r="F118" t="s">
        <v>262</v>
      </c>
      <c r="AA118" t="s">
        <v>669</v>
      </c>
      <c r="AB118" t="s">
        <v>631</v>
      </c>
      <c r="AC118" t="s">
        <v>674</v>
      </c>
      <c r="AD118" t="s">
        <v>675</v>
      </c>
    </row>
    <row r="119" spans="2:30" x14ac:dyDescent="0.2">
      <c r="C119" t="s">
        <v>266</v>
      </c>
      <c r="D119" t="s">
        <v>263</v>
      </c>
      <c r="E119" t="s">
        <v>266</v>
      </c>
      <c r="F119" t="s">
        <v>267</v>
      </c>
      <c r="AA119" t="s">
        <v>669</v>
      </c>
      <c r="AB119" t="s">
        <v>631</v>
      </c>
      <c r="AC119" t="s">
        <v>676</v>
      </c>
      <c r="AD119" t="s">
        <v>677</v>
      </c>
    </row>
    <row r="120" spans="2:30" x14ac:dyDescent="0.2">
      <c r="C120" t="s">
        <v>266</v>
      </c>
      <c r="D120" t="s">
        <v>264</v>
      </c>
      <c r="E120" t="s">
        <v>266</v>
      </c>
      <c r="F120" t="s">
        <v>268</v>
      </c>
      <c r="AA120" t="s">
        <v>669</v>
      </c>
      <c r="AB120" t="s">
        <v>631</v>
      </c>
      <c r="AC120" t="s">
        <v>678</v>
      </c>
      <c r="AD120" t="s">
        <v>511</v>
      </c>
    </row>
    <row r="121" spans="2:30" x14ac:dyDescent="0.2">
      <c r="AA121" t="s">
        <v>679</v>
      </c>
      <c r="AB121" t="s">
        <v>631</v>
      </c>
      <c r="AC121" t="s">
        <v>680</v>
      </c>
      <c r="AD121" t="s">
        <v>681</v>
      </c>
    </row>
    <row r="122" spans="2:30" x14ac:dyDescent="0.2">
      <c r="AA122" t="s">
        <v>679</v>
      </c>
      <c r="AB122" t="s">
        <v>631</v>
      </c>
      <c r="AC122" t="s">
        <v>682</v>
      </c>
      <c r="AD122" t="s">
        <v>683</v>
      </c>
    </row>
    <row r="123" spans="2:30" x14ac:dyDescent="0.2">
      <c r="AA123" t="s">
        <v>679</v>
      </c>
      <c r="AB123" t="s">
        <v>631</v>
      </c>
      <c r="AC123" t="s">
        <v>684</v>
      </c>
      <c r="AD123" t="s">
        <v>685</v>
      </c>
    </row>
    <row r="124" spans="2:30" x14ac:dyDescent="0.2">
      <c r="AA124" t="s">
        <v>679</v>
      </c>
      <c r="AB124" t="s">
        <v>631</v>
      </c>
      <c r="AC124" t="s">
        <v>686</v>
      </c>
      <c r="AD124" t="s">
        <v>685</v>
      </c>
    </row>
    <row r="125" spans="2:30" x14ac:dyDescent="0.2">
      <c r="AA125" t="s">
        <v>679</v>
      </c>
      <c r="AB125" t="s">
        <v>631</v>
      </c>
      <c r="AC125" t="s">
        <v>687</v>
      </c>
      <c r="AD125" t="s">
        <v>511</v>
      </c>
    </row>
    <row r="126" spans="2:30" x14ac:dyDescent="0.2">
      <c r="AA126" t="s">
        <v>679</v>
      </c>
      <c r="AB126" t="s">
        <v>631</v>
      </c>
      <c r="AC126" t="s">
        <v>688</v>
      </c>
      <c r="AD126" t="s">
        <v>511</v>
      </c>
    </row>
    <row r="127" spans="2:30" x14ac:dyDescent="0.2">
      <c r="AA127" t="s">
        <v>679</v>
      </c>
      <c r="AB127" t="s">
        <v>631</v>
      </c>
      <c r="AC127" t="s">
        <v>689</v>
      </c>
      <c r="AD127" t="s">
        <v>511</v>
      </c>
    </row>
    <row r="128" spans="2:30" x14ac:dyDescent="0.2">
      <c r="Z128" t="s">
        <v>690</v>
      </c>
    </row>
    <row r="129" spans="26:30" x14ac:dyDescent="0.2">
      <c r="AA129" t="s">
        <v>691</v>
      </c>
      <c r="AB129" t="s">
        <v>631</v>
      </c>
      <c r="AC129" t="s">
        <v>691</v>
      </c>
      <c r="AD129" t="s">
        <v>673</v>
      </c>
    </row>
    <row r="130" spans="26:30" x14ac:dyDescent="0.2">
      <c r="AA130" t="s">
        <v>691</v>
      </c>
      <c r="AB130" t="s">
        <v>692</v>
      </c>
      <c r="AC130" t="s">
        <v>691</v>
      </c>
      <c r="AD130" t="s">
        <v>637</v>
      </c>
    </row>
    <row r="131" spans="26:30" x14ac:dyDescent="0.2">
      <c r="AA131" t="s">
        <v>691</v>
      </c>
      <c r="AB131" t="s">
        <v>693</v>
      </c>
      <c r="AC131" t="s">
        <v>691</v>
      </c>
      <c r="AD131" t="s">
        <v>552</v>
      </c>
    </row>
    <row r="132" spans="26:30" x14ac:dyDescent="0.2">
      <c r="AA132" t="s">
        <v>691</v>
      </c>
      <c r="AB132" t="s">
        <v>694</v>
      </c>
      <c r="AC132" t="s">
        <v>691</v>
      </c>
      <c r="AD132" t="s">
        <v>695</v>
      </c>
    </row>
    <row r="133" spans="26:30" x14ac:dyDescent="0.2">
      <c r="AA133" t="s">
        <v>696</v>
      </c>
      <c r="AB133" t="s">
        <v>631</v>
      </c>
      <c r="AC133" t="s">
        <v>696</v>
      </c>
      <c r="AD133" t="s">
        <v>637</v>
      </c>
    </row>
    <row r="134" spans="26:30" x14ac:dyDescent="0.2">
      <c r="AA134" t="s">
        <v>696</v>
      </c>
      <c r="AB134" t="s">
        <v>692</v>
      </c>
      <c r="AC134" t="s">
        <v>696</v>
      </c>
      <c r="AD134" t="s">
        <v>637</v>
      </c>
    </row>
    <row r="135" spans="26:30" x14ac:dyDescent="0.2">
      <c r="AA135" t="s">
        <v>696</v>
      </c>
      <c r="AB135" t="s">
        <v>693</v>
      </c>
      <c r="AC135" t="s">
        <v>696</v>
      </c>
      <c r="AD135" t="s">
        <v>552</v>
      </c>
    </row>
    <row r="136" spans="26:30" x14ac:dyDescent="0.2">
      <c r="AA136" t="s">
        <v>696</v>
      </c>
      <c r="AB136" t="s">
        <v>697</v>
      </c>
      <c r="AC136" t="s">
        <v>696</v>
      </c>
      <c r="AD136" t="s">
        <v>574</v>
      </c>
    </row>
    <row r="137" spans="26:30" x14ac:dyDescent="0.2">
      <c r="Z137" t="s">
        <v>698</v>
      </c>
    </row>
    <row r="138" spans="26:30" x14ac:dyDescent="0.2">
      <c r="AA138" t="s">
        <v>699</v>
      </c>
      <c r="AB138" t="s">
        <v>700</v>
      </c>
      <c r="AC138" t="s">
        <v>701</v>
      </c>
      <c r="AD138" t="s">
        <v>702</v>
      </c>
    </row>
    <row r="139" spans="26:30" x14ac:dyDescent="0.2">
      <c r="AA139" t="s">
        <v>699</v>
      </c>
      <c r="AB139" t="s">
        <v>700</v>
      </c>
      <c r="AC139" t="s">
        <v>703</v>
      </c>
      <c r="AD139" t="s">
        <v>704</v>
      </c>
    </row>
    <row r="140" spans="26:30" x14ac:dyDescent="0.2">
      <c r="AA140" t="s">
        <v>699</v>
      </c>
      <c r="AB140" t="s">
        <v>700</v>
      </c>
      <c r="AC140" t="s">
        <v>705</v>
      </c>
      <c r="AD140" t="s">
        <v>706</v>
      </c>
    </row>
    <row r="141" spans="26:30" x14ac:dyDescent="0.2">
      <c r="AA141" t="s">
        <v>699</v>
      </c>
      <c r="AB141" t="s">
        <v>700</v>
      </c>
      <c r="AC141" t="s">
        <v>707</v>
      </c>
      <c r="AD141" t="s">
        <v>708</v>
      </c>
    </row>
    <row r="142" spans="26:30" x14ac:dyDescent="0.2">
      <c r="AA142" t="s">
        <v>699</v>
      </c>
      <c r="AB142" t="s">
        <v>700</v>
      </c>
      <c r="AC142" t="s">
        <v>709</v>
      </c>
      <c r="AD142" t="s">
        <v>710</v>
      </c>
    </row>
    <row r="143" spans="26:30" x14ac:dyDescent="0.2">
      <c r="AA143" t="s">
        <v>699</v>
      </c>
      <c r="AB143" t="s">
        <v>700</v>
      </c>
      <c r="AC143" t="s">
        <v>711</v>
      </c>
      <c r="AD143" t="s">
        <v>712</v>
      </c>
    </row>
    <row r="144" spans="26:30" x14ac:dyDescent="0.2">
      <c r="AA144" t="s">
        <v>699</v>
      </c>
      <c r="AB144" t="s">
        <v>700</v>
      </c>
      <c r="AC144" t="s">
        <v>713</v>
      </c>
      <c r="AD144" t="s">
        <v>714</v>
      </c>
    </row>
    <row r="145" spans="26:30" x14ac:dyDescent="0.2">
      <c r="AA145" t="s">
        <v>699</v>
      </c>
      <c r="AB145" t="s">
        <v>700</v>
      </c>
      <c r="AC145" t="s">
        <v>715</v>
      </c>
      <c r="AD145" t="s">
        <v>714</v>
      </c>
    </row>
    <row r="146" spans="26:30" x14ac:dyDescent="0.2">
      <c r="Z146" t="s">
        <v>716</v>
      </c>
    </row>
    <row r="147" spans="26:30" x14ac:dyDescent="0.2">
      <c r="AA147" t="s">
        <v>717</v>
      </c>
      <c r="AB147" t="s">
        <v>718</v>
      </c>
      <c r="AC147" t="s">
        <v>719</v>
      </c>
      <c r="AD147" t="s">
        <v>720</v>
      </c>
    </row>
    <row r="148" spans="26:30" x14ac:dyDescent="0.2">
      <c r="AA148" t="s">
        <v>717</v>
      </c>
      <c r="AB148" t="s">
        <v>721</v>
      </c>
      <c r="AC148" t="s">
        <v>722</v>
      </c>
      <c r="AD148" t="s">
        <v>723</v>
      </c>
    </row>
    <row r="149" spans="26:30" x14ac:dyDescent="0.2">
      <c r="AA149" t="s">
        <v>717</v>
      </c>
      <c r="AB149" t="s">
        <v>631</v>
      </c>
      <c r="AC149" t="s">
        <v>724</v>
      </c>
      <c r="AD149" t="s">
        <v>725</v>
      </c>
    </row>
    <row r="150" spans="26:30" x14ac:dyDescent="0.2">
      <c r="AA150" t="s">
        <v>717</v>
      </c>
      <c r="AB150" t="s">
        <v>718</v>
      </c>
      <c r="AC150" t="s">
        <v>726</v>
      </c>
      <c r="AD150" t="s">
        <v>54</v>
      </c>
    </row>
    <row r="151" spans="26:30" x14ac:dyDescent="0.2">
      <c r="AA151" t="s">
        <v>717</v>
      </c>
      <c r="AB151" t="s">
        <v>718</v>
      </c>
      <c r="AC151" t="s">
        <v>727</v>
      </c>
      <c r="AD151" t="s">
        <v>54</v>
      </c>
    </row>
    <row r="152" spans="26:30" x14ac:dyDescent="0.2">
      <c r="AA152" t="s">
        <v>717</v>
      </c>
      <c r="AB152" t="s">
        <v>631</v>
      </c>
      <c r="AC152" t="s">
        <v>728</v>
      </c>
      <c r="AD152" t="s">
        <v>511</v>
      </c>
    </row>
    <row r="153" spans="26:30" x14ac:dyDescent="0.2">
      <c r="Z153" t="s">
        <v>729</v>
      </c>
    </row>
    <row r="154" spans="26:30" x14ac:dyDescent="0.2">
      <c r="AA154" t="s">
        <v>730</v>
      </c>
      <c r="AB154" t="s">
        <v>731</v>
      </c>
      <c r="AC154" t="s">
        <v>732</v>
      </c>
      <c r="AD154" t="b">
        <v>1</v>
      </c>
    </row>
    <row r="155" spans="26:30" x14ac:dyDescent="0.2">
      <c r="AA155" t="s">
        <v>730</v>
      </c>
      <c r="AB155" t="s">
        <v>733</v>
      </c>
      <c r="AC155" t="s">
        <v>732</v>
      </c>
      <c r="AD155" t="b">
        <v>1</v>
      </c>
    </row>
    <row r="156" spans="26:30" x14ac:dyDescent="0.2">
      <c r="AA156" t="s">
        <v>730</v>
      </c>
      <c r="AB156" t="s">
        <v>734</v>
      </c>
      <c r="AC156" t="s">
        <v>732</v>
      </c>
      <c r="AD156" t="b">
        <v>0</v>
      </c>
    </row>
    <row r="157" spans="26:30" x14ac:dyDescent="0.2">
      <c r="Z157" t="s">
        <v>735</v>
      </c>
    </row>
    <row r="158" spans="26:30" x14ac:dyDescent="0.2">
      <c r="AA158" t="s">
        <v>496</v>
      </c>
      <c r="AB158" t="s">
        <v>736</v>
      </c>
      <c r="AC158" t="s">
        <v>737</v>
      </c>
      <c r="AD158">
        <v>-1</v>
      </c>
    </row>
    <row r="159" spans="26:30" x14ac:dyDescent="0.2">
      <c r="AA159" t="s">
        <v>496</v>
      </c>
      <c r="AB159" t="s">
        <v>738</v>
      </c>
      <c r="AC159" t="s">
        <v>737</v>
      </c>
      <c r="AD159">
        <v>0</v>
      </c>
    </row>
    <row r="160" spans="26:30" x14ac:dyDescent="0.2">
      <c r="AA160" t="s">
        <v>496</v>
      </c>
      <c r="AB160" t="s">
        <v>739</v>
      </c>
      <c r="AC160" t="s">
        <v>737</v>
      </c>
      <c r="AD160">
        <v>1</v>
      </c>
    </row>
    <row r="161" spans="27:30" x14ac:dyDescent="0.2">
      <c r="AA161" t="s">
        <v>496</v>
      </c>
      <c r="AB161" t="s">
        <v>740</v>
      </c>
      <c r="AC161" t="s">
        <v>737</v>
      </c>
      <c r="AD161" t="s">
        <v>554</v>
      </c>
    </row>
    <row r="162" spans="27:30" x14ac:dyDescent="0.2">
      <c r="AA162" t="s">
        <v>741</v>
      </c>
      <c r="AB162" t="s">
        <v>738</v>
      </c>
      <c r="AC162" t="s">
        <v>742</v>
      </c>
      <c r="AD162" t="b">
        <v>1</v>
      </c>
    </row>
    <row r="163" spans="27:30" x14ac:dyDescent="0.2">
      <c r="AA163" t="s">
        <v>741</v>
      </c>
      <c r="AB163" t="s">
        <v>743</v>
      </c>
      <c r="AC163" t="s">
        <v>742</v>
      </c>
      <c r="AD163" t="b">
        <v>0</v>
      </c>
    </row>
    <row r="164" spans="27:30" x14ac:dyDescent="0.2">
      <c r="AA164" t="s">
        <v>741</v>
      </c>
      <c r="AB164" t="s">
        <v>740</v>
      </c>
      <c r="AC164" t="s">
        <v>742</v>
      </c>
      <c r="AD164" t="s">
        <v>554</v>
      </c>
    </row>
    <row r="165" spans="27:30" x14ac:dyDescent="0.2">
      <c r="AA165" t="s">
        <v>744</v>
      </c>
      <c r="AB165" t="s">
        <v>739</v>
      </c>
      <c r="AC165" t="s">
        <v>745</v>
      </c>
      <c r="AD165" t="b">
        <v>1</v>
      </c>
    </row>
    <row r="166" spans="27:30" x14ac:dyDescent="0.2">
      <c r="AA166" t="s">
        <v>744</v>
      </c>
      <c r="AB166" t="s">
        <v>738</v>
      </c>
      <c r="AC166" t="s">
        <v>745</v>
      </c>
      <c r="AD166" t="b">
        <v>0</v>
      </c>
    </row>
    <row r="167" spans="27:30" x14ac:dyDescent="0.2">
      <c r="AA167" t="s">
        <v>744</v>
      </c>
      <c r="AB167" t="s">
        <v>740</v>
      </c>
      <c r="AC167" t="s">
        <v>745</v>
      </c>
      <c r="AD167" t="s">
        <v>554</v>
      </c>
    </row>
    <row r="168" spans="27:30" x14ac:dyDescent="0.2">
      <c r="AA168" t="s">
        <v>746</v>
      </c>
      <c r="AB168" t="s">
        <v>739</v>
      </c>
      <c r="AC168" t="s">
        <v>747</v>
      </c>
      <c r="AD168" t="b">
        <v>1</v>
      </c>
    </row>
    <row r="169" spans="27:30" x14ac:dyDescent="0.2">
      <c r="AA169" t="s">
        <v>746</v>
      </c>
      <c r="AB169" t="s">
        <v>738</v>
      </c>
      <c r="AC169" t="s">
        <v>747</v>
      </c>
      <c r="AD169" t="b">
        <v>1</v>
      </c>
    </row>
    <row r="170" spans="27:30" x14ac:dyDescent="0.2">
      <c r="AA170" t="s">
        <v>746</v>
      </c>
      <c r="AB170" t="s">
        <v>748</v>
      </c>
      <c r="AC170" t="s">
        <v>747</v>
      </c>
      <c r="AD170" t="b">
        <v>0</v>
      </c>
    </row>
    <row r="171" spans="27:30" x14ac:dyDescent="0.2">
      <c r="AA171" t="s">
        <v>746</v>
      </c>
      <c r="AB171" t="s">
        <v>749</v>
      </c>
      <c r="AC171" t="s">
        <v>747</v>
      </c>
      <c r="AD171" t="s">
        <v>554</v>
      </c>
    </row>
    <row r="172" spans="27:30" x14ac:dyDescent="0.2">
      <c r="AA172" t="s">
        <v>750</v>
      </c>
      <c r="AB172" t="s">
        <v>748</v>
      </c>
      <c r="AC172" t="s">
        <v>751</v>
      </c>
      <c r="AD172" t="b">
        <v>1</v>
      </c>
    </row>
    <row r="173" spans="27:30" x14ac:dyDescent="0.2">
      <c r="AA173" t="s">
        <v>750</v>
      </c>
      <c r="AB173" t="s">
        <v>738</v>
      </c>
      <c r="AC173" t="s">
        <v>751</v>
      </c>
      <c r="AD173" t="b">
        <v>0</v>
      </c>
    </row>
    <row r="174" spans="27:30" x14ac:dyDescent="0.2">
      <c r="AA174" t="s">
        <v>750</v>
      </c>
      <c r="AB174" t="s">
        <v>740</v>
      </c>
      <c r="AC174" t="s">
        <v>751</v>
      </c>
      <c r="AD174" t="s">
        <v>554</v>
      </c>
    </row>
    <row r="175" spans="27:30" x14ac:dyDescent="0.2">
      <c r="AA175" t="s">
        <v>752</v>
      </c>
      <c r="AB175" t="s">
        <v>748</v>
      </c>
      <c r="AC175" t="s">
        <v>753</v>
      </c>
      <c r="AD175" t="b">
        <v>1</v>
      </c>
    </row>
    <row r="176" spans="27:30" x14ac:dyDescent="0.2">
      <c r="AA176" t="s">
        <v>752</v>
      </c>
      <c r="AB176" t="s">
        <v>738</v>
      </c>
      <c r="AC176" t="s">
        <v>753</v>
      </c>
      <c r="AD176" t="b">
        <v>1</v>
      </c>
    </row>
    <row r="177" spans="26:30" x14ac:dyDescent="0.2">
      <c r="AA177" t="s">
        <v>752</v>
      </c>
      <c r="AB177" t="s">
        <v>739</v>
      </c>
      <c r="AC177" t="s">
        <v>753</v>
      </c>
      <c r="AD177" t="b">
        <v>0</v>
      </c>
    </row>
    <row r="178" spans="26:30" x14ac:dyDescent="0.2">
      <c r="AA178" t="s">
        <v>752</v>
      </c>
      <c r="AB178" t="s">
        <v>754</v>
      </c>
      <c r="AC178" t="s">
        <v>753</v>
      </c>
      <c r="AD178" t="s">
        <v>554</v>
      </c>
    </row>
    <row r="179" spans="26:30" x14ac:dyDescent="0.2">
      <c r="Z179" t="s">
        <v>755</v>
      </c>
    </row>
    <row r="180" spans="26:30" x14ac:dyDescent="0.2">
      <c r="AA180" t="s">
        <v>756</v>
      </c>
      <c r="AB180" t="s">
        <v>757</v>
      </c>
      <c r="AC180" t="s">
        <v>756</v>
      </c>
      <c r="AD180" t="s">
        <v>637</v>
      </c>
    </row>
    <row r="181" spans="26:30" x14ac:dyDescent="0.2">
      <c r="AA181" t="s">
        <v>756</v>
      </c>
      <c r="AB181" t="s">
        <v>758</v>
      </c>
      <c r="AC181" t="s">
        <v>756</v>
      </c>
      <c r="AD181" t="s">
        <v>759</v>
      </c>
    </row>
    <row r="182" spans="26:30" x14ac:dyDescent="0.2">
      <c r="AA182" t="s">
        <v>756</v>
      </c>
      <c r="AB182" t="s">
        <v>760</v>
      </c>
      <c r="AC182" t="s">
        <v>756</v>
      </c>
      <c r="AD182" t="s">
        <v>761</v>
      </c>
    </row>
    <row r="183" spans="26:30" x14ac:dyDescent="0.2">
      <c r="AA183" t="s">
        <v>756</v>
      </c>
      <c r="AB183" t="s">
        <v>587</v>
      </c>
      <c r="AC183" t="s">
        <v>756</v>
      </c>
      <c r="AD183" t="s">
        <v>574</v>
      </c>
    </row>
    <row r="184" spans="26:30" x14ac:dyDescent="0.2">
      <c r="AA184" t="s">
        <v>756</v>
      </c>
      <c r="AB184" t="s">
        <v>762</v>
      </c>
      <c r="AC184" t="s">
        <v>756</v>
      </c>
      <c r="AD184" t="s">
        <v>763</v>
      </c>
    </row>
    <row r="185" spans="26:30" x14ac:dyDescent="0.2">
      <c r="AA185" t="s">
        <v>756</v>
      </c>
      <c r="AB185" t="s">
        <v>764</v>
      </c>
      <c r="AC185" t="s">
        <v>756</v>
      </c>
      <c r="AD185" t="s">
        <v>765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run</vt:lpstr>
      <vt:lpstr>Eval_CharUtils</vt:lpstr>
      <vt:lpstr>Eval_Range</vt:lpstr>
      <vt:lpstr>Eval_RegExUtils</vt:lpstr>
      <vt:lpstr>Eval_CurrencyUnit</vt:lpstr>
      <vt:lpstr>Eval_Money</vt:lpstr>
      <vt:lpstr>Failing Tests</vt:lpstr>
      <vt:lpstr>Backup_Eval_Classes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ginter</dc:creator>
  <cp:lastModifiedBy>dennis ginter</cp:lastModifiedBy>
  <dcterms:created xsi:type="dcterms:W3CDTF">2025-12-13T23:08:49Z</dcterms:created>
  <dcterms:modified xsi:type="dcterms:W3CDTF">2026-01-31T08:35:18Z</dcterms:modified>
</cp:coreProperties>
</file>